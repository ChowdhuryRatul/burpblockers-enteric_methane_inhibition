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nettamu0-my.sharepoint.com/personal/matthew_beck_agnet_tamu_edu/Documents/Experiments and Manuscripts/Novel CH4 Inhibitors_in vitro screenings/Round 2_Dimethylgloxime_Propionyl-L-carnitine HCl_Pyrimidine_Safrole/"/>
    </mc:Choice>
  </mc:AlternateContent>
  <xr:revisionPtr revIDLastSave="187" documentId="8_{8921E02A-B65B-4001-B86A-B412CDA09FA4}" xr6:coauthVersionLast="47" xr6:coauthVersionMax="47" xr10:uidLastSave="{BD171449-A704-4907-8A56-EAE318786182}"/>
  <bookViews>
    <workbookView xWindow="28680" yWindow="-120" windowWidth="29040" windowHeight="15720" xr2:uid="{ED4F84BD-89E6-4410-B0D8-9CF83F6BA60E}"/>
  </bookViews>
  <sheets>
    <sheet name="Other data" sheetId="1" r:id="rId1"/>
    <sheet name="Sheet1" sheetId="3" r:id="rId2"/>
    <sheet name="Gas prod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7" i="1"/>
  <c r="V38" i="1"/>
  <c r="V39" i="1"/>
  <c r="V40" i="1"/>
  <c r="V41" i="1"/>
  <c r="V42" i="1"/>
  <c r="V43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2" i="1"/>
  <c r="M43" i="1"/>
  <c r="M45" i="1" l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4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7" i="1"/>
  <c r="M38" i="1"/>
  <c r="M39" i="1"/>
  <c r="M40" i="1"/>
  <c r="M41" i="1"/>
  <c r="M22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</calcChain>
</file>

<file path=xl/sharedStrings.xml><?xml version="1.0" encoding="utf-8"?>
<sst xmlns="http://schemas.openxmlformats.org/spreadsheetml/2006/main" count="146" uniqueCount="51">
  <si>
    <t>Bottle</t>
  </si>
  <si>
    <t>Module</t>
  </si>
  <si>
    <t>F57 BagIDs</t>
  </si>
  <si>
    <t>29_30</t>
  </si>
  <si>
    <t>11_12</t>
  </si>
  <si>
    <t>13_14</t>
  </si>
  <si>
    <t>15_16</t>
  </si>
  <si>
    <t>27_28</t>
  </si>
  <si>
    <t>5_6</t>
  </si>
  <si>
    <t>39_40</t>
  </si>
  <si>
    <t>17_18</t>
  </si>
  <si>
    <t>7_8</t>
  </si>
  <si>
    <t>1_2</t>
  </si>
  <si>
    <t>9_10</t>
  </si>
  <si>
    <t>31_32</t>
  </si>
  <si>
    <t>21_22</t>
  </si>
  <si>
    <t>23_24</t>
  </si>
  <si>
    <t>3_4</t>
  </si>
  <si>
    <t>25_26</t>
  </si>
  <si>
    <t>37_38</t>
  </si>
  <si>
    <t>19_20</t>
  </si>
  <si>
    <t>33_34</t>
  </si>
  <si>
    <t>35_36</t>
  </si>
  <si>
    <t>Control</t>
  </si>
  <si>
    <t>Dimethylglyoxime</t>
  </si>
  <si>
    <t>Propionyl-L-Carnitine HCl</t>
  </si>
  <si>
    <t>Pyrimidine</t>
  </si>
  <si>
    <t>Safrole</t>
  </si>
  <si>
    <t>Run</t>
  </si>
  <si>
    <t>CH4.per</t>
  </si>
  <si>
    <t>initial.pH</t>
  </si>
  <si>
    <t>final.pH</t>
  </si>
  <si>
    <t>24h.gas.prod</t>
  </si>
  <si>
    <t>48h.gas.prod</t>
  </si>
  <si>
    <t>CH4.prod</t>
  </si>
  <si>
    <t>IVTDMD</t>
  </si>
  <si>
    <t>app.DMD</t>
  </si>
  <si>
    <t>NH3</t>
  </si>
  <si>
    <t>TRT</t>
  </si>
  <si>
    <t>Row Labels</t>
  </si>
  <si>
    <t>Grand Total</t>
  </si>
  <si>
    <t>Average of CH4.prod</t>
  </si>
  <si>
    <t>Count of CH4.prod</t>
  </si>
  <si>
    <t>Acetate</t>
  </si>
  <si>
    <t>Propionate</t>
  </si>
  <si>
    <t>Isobutyrate</t>
  </si>
  <si>
    <t>Butyrate</t>
  </si>
  <si>
    <t>Isovalerate</t>
  </si>
  <si>
    <t>Valerate</t>
  </si>
  <si>
    <t>Total</t>
  </si>
  <si>
    <t>A:P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</si>
</sst>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2" borderId="0" xfId="0" applyFill="1"/>
    <xf numFmtId="164" fontId="0" fillId="0" borderId="0" xfId="0" applyNumberFormat="1"/>
    <xf numFmtId="0" fontId="5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164" fontId="0" fillId="0" borderId="1" xfId="0" applyNumberFormat="1" applyBorder="1"/>
    <xf numFmtId="0" fontId="5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/>
    <xf numFmtId="0" fontId="6" fillId="0" borderId="1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hew Beck" refreshedDate="45891.635943865738" createdVersion="8" refreshedVersion="8" minRefreshableVersion="3" recordCount="60" xr:uid="{602715C7-4A61-4E48-A963-B8DD791CFCA9}">
  <cacheSource type="worksheet">
    <worksheetSource ref="A1:N61" sheet="Other data"/>
  </cacheSource>
  <cacheFields count="14">
    <cacheField name="Run" numFmtId="0">
      <sharedItems containsSemiMixedTypes="0" containsString="0" containsNumber="1" containsInteger="1" minValue="1" maxValue="3" count="3">
        <n v="1"/>
        <n v="2"/>
        <n v="3"/>
      </sharedItems>
    </cacheField>
    <cacheField name="Bottle" numFmtId="0">
      <sharedItems containsSemiMixedTypes="0" containsString="0" containsNumber="1" containsInteger="1" minValue="1" maxValue="24"/>
    </cacheField>
    <cacheField name="Module" numFmtId="0">
      <sharedItems containsSemiMixedTypes="0" containsString="0" containsNumber="1" containsInteger="1" minValue="22" maxValue="49" count="24">
        <n v="32"/>
        <n v="31"/>
        <n v="47"/>
        <n v="40"/>
        <n v="49"/>
        <n v="36"/>
        <n v="38"/>
        <n v="37"/>
        <n v="29"/>
        <n v="44"/>
        <n v="25"/>
        <n v="41"/>
        <n v="34"/>
        <n v="39"/>
        <n v="45"/>
        <n v="48"/>
        <n v="33"/>
        <n v="35"/>
        <n v="43"/>
        <n v="26"/>
        <n v="46"/>
        <n v="27"/>
        <n v="28"/>
        <n v="22"/>
      </sharedItems>
    </cacheField>
    <cacheField name="TRT" numFmtId="0">
      <sharedItems/>
    </cacheField>
    <cacheField name="F57 BagIDs" numFmtId="0">
      <sharedItems/>
    </cacheField>
    <cacheField name="initial.pH" numFmtId="164">
      <sharedItems containsString="0" containsBlank="1" containsNumber="1" minValue="6.5129999999999999" maxValue="6.7110000000000003"/>
    </cacheField>
    <cacheField name="final.pH" numFmtId="164">
      <sharedItems containsString="0" containsBlank="1" containsNumber="1" minValue="6.1050000000000004" maxValue="6.3710000000000004"/>
    </cacheField>
    <cacheField name="app.DMD" numFmtId="0">
      <sharedItems containsNonDate="0" containsString="0" containsBlank="1"/>
    </cacheField>
    <cacheField name="IVTDMD" numFmtId="0">
      <sharedItems containsNonDate="0" containsString="0" containsBlank="1"/>
    </cacheField>
    <cacheField name="CH4.per" numFmtId="0">
      <sharedItems containsString="0" containsBlank="1" containsNumber="1" minValue="4.1345000000000001" maxValue="5.3995666666666677"/>
    </cacheField>
    <cacheField name="24h.gas.prod" numFmtId="0">
      <sharedItems containsString="0" containsBlank="1" containsNumber="1" minValue="64.977903765037027" maxValue="90.221932579676832"/>
    </cacheField>
    <cacheField name="48h.gas.prod" numFmtId="0">
      <sharedItems containsString="0" containsBlank="1" containsNumber="1" minValue="82.524201820055723" maxValue="113.99433639615383"/>
    </cacheField>
    <cacheField name="CH4.prod" numFmtId="0">
      <sharedItems containsString="0" containsBlank="1" containsNumber="1" minValue="3.8448025627963962" maxValue="5.9715055806222654"/>
    </cacheField>
    <cacheField name="NH3" numFmtId="0">
      <sharedItems containsString="0" containsBlank="1" containsNumber="1" minValue="21.8" maxValue="27.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n v="14"/>
    <x v="0"/>
    <s v="Control"/>
    <s v="29_30"/>
    <n v="6.69"/>
    <n v="6.2629999999999999"/>
    <m/>
    <m/>
    <n v="4.9637000000000002"/>
    <n v="83.882624895282987"/>
    <n v="107.65502871175994"/>
    <n v="5.3436726601656277"/>
    <n v="26.812000000000001"/>
  </r>
  <r>
    <x v="0"/>
    <n v="24"/>
    <x v="1"/>
    <s v="Control"/>
    <s v="11_12"/>
    <n v="6.68"/>
    <n v="6.2649999999999997"/>
    <m/>
    <m/>
    <n v="5.0625"/>
    <n v="90.221932579676832"/>
    <n v="113.08872101266896"/>
    <n v="5.7251165012663661"/>
    <n v="25.32"/>
  </r>
  <r>
    <x v="0"/>
    <n v="9"/>
    <x v="2"/>
    <s v="Control"/>
    <s v="13_14"/>
    <n v="6.6920000000000002"/>
    <n v="6.2779999999999996"/>
    <m/>
    <m/>
    <n v="5.2168333333333328"/>
    <n v="84.788240278767816"/>
    <n v="106.74941332827511"/>
    <n v="5.5689389776472318"/>
    <n v="22.76"/>
  </r>
  <r>
    <x v="0"/>
    <n v="19"/>
    <x v="3"/>
    <s v="Control"/>
    <s v="15_16"/>
    <n v="6.6740000000000004"/>
    <n v="6.2750000000000004"/>
    <m/>
    <m/>
    <n v="4.9598333333333331"/>
    <n v="89.316317196192003"/>
    <n v="111.73029793744173"/>
    <n v="5.5416365605338811"/>
    <n v="24.44"/>
  </r>
  <r>
    <x v="0"/>
    <n v="13"/>
    <x v="4"/>
    <s v="Dimethylglyoxime"/>
    <s v="27_28"/>
    <n v="6.69"/>
    <n v="6.2629999999999999"/>
    <m/>
    <m/>
    <n v="5.1960333333333333"/>
    <n v="83.316615280604964"/>
    <n v="104.48537486956299"/>
    <n v="5.429094906680783"/>
    <n v="26.077999999999999"/>
  </r>
  <r>
    <x v="0"/>
    <n v="10"/>
    <x v="5"/>
    <s v="Dimethylglyoxime"/>
    <s v="5_6"/>
    <n v="6.6870000000000003"/>
    <n v="6.2629999999999999"/>
    <m/>
    <m/>
    <n v="5.0601999999999991"/>
    <n v="82.071394128313315"/>
    <n v="102.22133641085091"/>
    <n v="5.1726040650618765"/>
    <n v="25.562000000000001"/>
  </r>
  <r>
    <x v="0"/>
    <n v="17"/>
    <x v="6"/>
    <s v="Dimethylglyoxime"/>
    <s v="39_40"/>
    <n v="6.6950000000000003"/>
    <n v="6.2489999999999997"/>
    <m/>
    <m/>
    <n v="5.3015999999999996"/>
    <n v="88.750307581513965"/>
    <n v="112.635913320927"/>
    <n v="5.9715055806222654"/>
    <n v="26.488"/>
  </r>
  <r>
    <x v="0"/>
    <n v="22"/>
    <x v="7"/>
    <s v="Dimethylglyoxime"/>
    <s v="17_18"/>
    <n v="6.702"/>
    <n v="6.2720000000000002"/>
    <m/>
    <m/>
    <n v="5.2571666666666665"/>
    <n v="88.297499889771572"/>
    <n v="110.37187486221445"/>
    <n v="5.8024334146313841"/>
    <n v="26.053999999999998"/>
  </r>
  <r>
    <x v="0"/>
    <n v="7"/>
    <x v="8"/>
    <s v="Propionyl-L-Carnitine HCl"/>
    <s v="7_8"/>
    <n v="6.7110000000000003"/>
    <n v="6.2469999999999999"/>
    <m/>
    <m/>
    <n v="5.2786333333333326"/>
    <n v="86.146663353995066"/>
    <n v="108.56064409524477"/>
    <n v="5.7305183460929552"/>
    <n v="25.584"/>
  </r>
  <r>
    <x v="0"/>
    <n v="12"/>
    <x v="9"/>
    <s v="Propionyl-L-Carnitine HCl"/>
    <s v="1_2"/>
    <n v="6.68"/>
    <n v="6.274"/>
    <m/>
    <m/>
    <n v="4.8388999999999998"/>
    <n v="89.769124887934396"/>
    <n v="111.2774902456993"/>
    <n v="5.384606475499143"/>
    <n v="25.82"/>
  </r>
  <r>
    <x v="0"/>
    <n v="1"/>
    <x v="10"/>
    <s v="Propionyl-L-Carnitine HCl"/>
    <s v="9_10"/>
    <n v="6.6859999999999999"/>
    <n v="6.27"/>
    <m/>
    <m/>
    <n v="4.7377333333333338"/>
    <n v="90.10873065674123"/>
    <n v="113.99433639615383"/>
    <n v="5.4007476735527122"/>
    <n v="27.35"/>
  </r>
  <r>
    <x v="0"/>
    <n v="11"/>
    <x v="11"/>
    <s v="Propionyl-L-Carnitine HCl"/>
    <s v="31_32"/>
    <n v="6.7080000000000002"/>
    <n v="6.2869999999999999"/>
    <m/>
    <m/>
    <n v="5.1677666666666662"/>
    <n v="78.448932594373971"/>
    <n v="104.0325671778206"/>
    <n v="5.3761603290930191"/>
    <n v="26.38"/>
  </r>
  <r>
    <x v="0"/>
    <n v="16"/>
    <x v="12"/>
    <s v="Pyrimidine"/>
    <s v="21_22"/>
    <n v="6.6890000000000001"/>
    <n v="6.3710000000000004"/>
    <m/>
    <m/>
    <n v="5.0892666666666662"/>
    <n v="81.958192205377713"/>
    <n v="104.48537486956299"/>
    <n v="5.3175393547783791"/>
    <n v="23.832000000000001"/>
  </r>
  <r>
    <x v="0"/>
    <n v="3"/>
    <x v="13"/>
    <s v="Pyrimidine"/>
    <s v="23_24"/>
    <n v="6.6820000000000004"/>
    <n v="6.2679999999999998"/>
    <m/>
    <m/>
    <n v="4.8066666666666666"/>
    <n v="88.410701812707174"/>
    <n v="110.37187486221445"/>
    <n v="5.3052081183771076"/>
    <n v="25.99"/>
  </r>
  <r>
    <x v="0"/>
    <n v="21"/>
    <x v="14"/>
    <s v="Pyrimidine"/>
    <s v="3_4"/>
    <n v="6.6820000000000004"/>
    <n v="6.274"/>
    <m/>
    <m/>
    <n v="5.1908333333333339"/>
    <n v="82.071394128313315"/>
    <n v="104.0325671778206"/>
    <n v="5.4001571745887045"/>
    <n v="25.34"/>
  </r>
  <r>
    <x v="0"/>
    <n v="6"/>
    <x v="15"/>
    <s v="Pyrimidine"/>
    <s v="25_26"/>
    <n v="6.7030000000000003"/>
    <n v="6.2670000000000003"/>
    <m/>
    <m/>
    <n v="4.9852999999999996"/>
    <n v="86.599471045737502"/>
    <n v="108.56064409524477"/>
    <n v="5.4120737900802371"/>
    <n v="26.532"/>
  </r>
  <r>
    <x v="0"/>
    <n v="15"/>
    <x v="16"/>
    <s v="Safrole"/>
    <s v="37_38"/>
    <n v="6.6849999999999996"/>
    <n v="6.258"/>
    <m/>
    <m/>
    <n v="4.9917000000000007"/>
    <n v="83.882624895282987"/>
    <n v="106.29660563653268"/>
    <n v="5.3060076635588018"/>
    <n v="26.38"/>
  </r>
  <r>
    <x v="0"/>
    <n v="20"/>
    <x v="17"/>
    <s v="Safrole"/>
    <s v="19_20"/>
    <n v="6.6829999999999998"/>
    <n v="6.2489999999999997"/>
    <m/>
    <m/>
    <n v="4.6889666666666665"/>
    <n v="88.410701812707174"/>
    <n v="111.2774902456993"/>
    <n v="5.2177644251240913"/>
    <n v="21.8"/>
  </r>
  <r>
    <x v="0"/>
    <n v="4"/>
    <x v="18"/>
    <s v="Safrole"/>
    <s v="33_34"/>
    <n v="6.6920000000000002"/>
    <n v="6.2859999999999996"/>
    <m/>
    <m/>
    <n v="4.9211666666666671"/>
    <n v="82.977009511798144"/>
    <n v="105.39099025304786"/>
    <n v="5.1864662820029075"/>
    <n v="26.326000000000001"/>
  </r>
  <r>
    <x v="0"/>
    <n v="5"/>
    <x v="19"/>
    <s v="Safrole"/>
    <s v="35_36"/>
    <n v="6.6820000000000004"/>
    <n v="6.2560000000000002"/>
    <m/>
    <m/>
    <n v="5.0728333333333326"/>
    <n v="83.769422972347385"/>
    <n v="106.29660563653268"/>
    <n v="5.3922496429319073"/>
    <n v="26.1"/>
  </r>
  <r>
    <x v="1"/>
    <n v="4"/>
    <x v="13"/>
    <s v="Control"/>
    <s v="29_30"/>
    <n v="6.52"/>
    <n v="6.1559999999999997"/>
    <m/>
    <m/>
    <n v="4.6863333333333337"/>
    <n v="72.675634524658122"/>
    <n v="93.84439411361619"/>
    <n v="4.3978611228111006"/>
    <m/>
  </r>
  <r>
    <x v="1"/>
    <n v="1"/>
    <x v="11"/>
    <s v="Control"/>
    <s v="3_4"/>
    <n v="6.5540000000000003"/>
    <n v="6.1660000000000004"/>
    <m/>
    <m/>
    <n v="5.1246"/>
    <n v="72.109624909980099"/>
    <n v="93.84"/>
    <n v="4.8089246399999999"/>
    <m/>
  </r>
  <r>
    <x v="1"/>
    <n v="10"/>
    <x v="20"/>
    <s v="Control"/>
    <s v="9_10"/>
    <n v="6.516"/>
    <n v="6.1349999999999998"/>
    <m/>
    <m/>
    <n v="5.0324666666666671"/>
    <n v="79.014942209051981"/>
    <n v="99.278086414525177"/>
    <n v="4.9961366061155088"/>
    <m/>
  </r>
  <r>
    <x v="1"/>
    <n v="18"/>
    <x v="3"/>
    <s v="Control"/>
    <s v="1_2"/>
    <n v="6.532"/>
    <n v="6.1280000000000001"/>
    <m/>
    <m/>
    <n v="5.1441666666666661"/>
    <n v="79.920557592536824"/>
    <n v="101.08931718149488"/>
    <n v="5.2002029580113982"/>
    <m/>
  </r>
  <r>
    <x v="1"/>
    <n v="17"/>
    <x v="7"/>
    <s v="Dimethylglyoxime"/>
    <s v="31_32"/>
    <n v="6.55"/>
    <n v="6.1260000000000003"/>
    <m/>
    <m/>
    <n v="4.821933333333333"/>
    <n v="73.581249908142965"/>
    <n v="95.20281718884344"/>
    <n v="4.590616376301238"/>
    <m/>
  </r>
  <r>
    <x v="1"/>
    <n v="8"/>
    <x v="19"/>
    <s v="Dimethylglyoxime"/>
    <s v="39_40"/>
    <n v="6.5339999999999998"/>
    <n v="6.1520000000000001"/>
    <m/>
    <m/>
    <n v="4.6801666666666666"/>
    <n v="72.2228268329157"/>
    <n v="90.221932579676832"/>
    <n v="4.2225368146165083"/>
    <m/>
  </r>
  <r>
    <x v="1"/>
    <n v="13"/>
    <x v="17"/>
    <s v="Dimethylglyoxime"/>
    <s v="25_26"/>
    <n v="6.532"/>
    <n v="6.1440000000000001"/>
    <m/>
    <m/>
    <n v="4.9878666666666662"/>
    <n v="69.5059806824612"/>
    <n v="92.033163346646504"/>
    <n v="4.5904914768462648"/>
    <m/>
  </r>
  <r>
    <x v="1"/>
    <n v="19"/>
    <x v="0"/>
    <s v="Dimethylglyoxime"/>
    <s v="5_6"/>
    <n v="6.54"/>
    <n v="6.16"/>
    <m/>
    <m/>
    <n v="4.7807333333333331"/>
    <n v="73.581249908142965"/>
    <n v="93.391586421873754"/>
    <n v="4.464802702599326"/>
    <m/>
  </r>
  <r>
    <x v="1"/>
    <n v="20"/>
    <x v="21"/>
    <s v="Propionyl-L-Carnitine HCl"/>
    <s v="33_34"/>
    <n v="6.5330000000000004"/>
    <n v="6.1429999999999998"/>
    <m/>
    <m/>
    <n v="5.2085666666666661"/>
    <n v="75.845288366855044"/>
    <n v="98.372471031040362"/>
    <n v="5.1237957352990904"/>
    <m/>
  </r>
  <r>
    <x v="1"/>
    <n v="3"/>
    <x v="2"/>
    <s v="Propionyl-L-Carnitine HCl"/>
    <s v="7_8"/>
    <n v="6.5679999999999996"/>
    <n v="6.1349999999999998"/>
    <m/>
    <m/>
    <n v="4.5308333333333328"/>
    <n v="73.581249908142965"/>
    <n v="91.127547963161661"/>
    <n v="4.1288373189642495"/>
    <m/>
  </r>
  <r>
    <x v="1"/>
    <n v="24"/>
    <x v="6"/>
    <s v="Propionyl-L-Carnitine HCl"/>
    <s v="17_18"/>
    <n v="6.5279999999999996"/>
    <n v="6.1050000000000004"/>
    <m/>
    <m/>
    <n v="5.0845500000000001"/>
    <n v="85.354249893445825"/>
    <n v="105.16458640717667"/>
    <n v="5.3471459781661022"/>
    <m/>
  </r>
  <r>
    <x v="1"/>
    <n v="6"/>
    <x v="8"/>
    <s v="Propionyl-L-Carnitine HCl"/>
    <s v="35_36"/>
    <n v="6.52"/>
    <n v="6.133"/>
    <m/>
    <m/>
    <n v="4.7768333333333333"/>
    <n v="77.203711442082309"/>
    <n v="97.466855647555519"/>
    <n v="4.6558292495243139"/>
    <m/>
  </r>
  <r>
    <x v="1"/>
    <n v="16"/>
    <x v="16"/>
    <s v="Pyrimidine"/>
    <s v="11_12"/>
    <n v="6.5129999999999999"/>
    <n v="6.14"/>
    <m/>
    <m/>
    <n v="5.1584000000000003"/>
    <n v="77.656519133824744"/>
    <n v="98.825278722782784"/>
    <n v="5.0978031776360275"/>
    <m/>
  </r>
  <r>
    <x v="1"/>
    <n v="12"/>
    <x v="5"/>
    <s v="Pyrimidine"/>
    <s v="37_38"/>
    <n v="6.5549999999999997"/>
    <n v="6.1470000000000002"/>
    <m/>
    <m/>
    <n v="4.6589999999999998"/>
    <n v="64.977903765037027"/>
    <n v="82.524201820055723"/>
    <n v="3.8448025627963962"/>
    <m/>
  </r>
  <r>
    <x v="1"/>
    <n v="15"/>
    <x v="18"/>
    <s v="Pyrimidine"/>
    <s v="15_16"/>
    <m/>
    <m/>
    <m/>
    <m/>
    <m/>
    <m/>
    <m/>
    <m/>
    <m/>
  </r>
  <r>
    <x v="1"/>
    <n v="21"/>
    <x v="10"/>
    <s v="Pyrimidine"/>
    <s v="21_22"/>
    <n v="6.5369999999999999"/>
    <n v="6.125"/>
    <m/>
    <m/>
    <n v="5.0034000000000001"/>
    <n v="82.637403742991324"/>
    <n v="102.44774025672214"/>
    <n v="5.125870236004836"/>
    <m/>
  </r>
  <r>
    <x v="1"/>
    <n v="14"/>
    <x v="15"/>
    <s v="Safrole"/>
    <s v="13_14"/>
    <n v="6.5339999999999998"/>
    <n v="6.1429999999999998"/>
    <m/>
    <m/>
    <n v="4.4916333333333327"/>
    <n v="75.845288366855044"/>
    <n v="93.84439411361619"/>
    <n v="4.2151460874718882"/>
    <m/>
  </r>
  <r>
    <x v="1"/>
    <n v="7"/>
    <x v="4"/>
    <s v="Safrole"/>
    <s v="19_20"/>
    <n v="6.5339999999999998"/>
    <n v="6.1890000000000001"/>
    <m/>
    <m/>
    <n v="5.0962666666666658"/>
    <n v="69.279576836589996"/>
    <n v="88.41"/>
    <n v="4.5056093599999993"/>
    <m/>
  </r>
  <r>
    <x v="1"/>
    <n v="5"/>
    <x v="12"/>
    <s v="Safrole"/>
    <s v="23_24"/>
    <n v="6.5449999999999999"/>
    <n v="6.1159999999999997"/>
    <m/>
    <m/>
    <n v="4.6776999999999997"/>
    <n v="72.675634524658122"/>
    <n v="93.391586421873754"/>
    <n v="4.3685782380559885"/>
    <m/>
  </r>
  <r>
    <x v="1"/>
    <n v="23"/>
    <x v="14"/>
    <s v="Safrole"/>
    <s v="27_28"/>
    <n v="6.5659999999999998"/>
    <n v="6.1520000000000001"/>
    <m/>
    <m/>
    <n v="4.9768333333333326"/>
    <n v="65.883519148521842"/>
    <n v="86.599471045737474"/>
    <n v="4.3099113414946109"/>
    <m/>
  </r>
  <r>
    <x v="2"/>
    <n v="19"/>
    <x v="8"/>
    <s v="Control"/>
    <s v="33_34"/>
    <n v="6.593"/>
    <n v="6.2750000000000004"/>
    <m/>
    <m/>
    <n v="4.6686333333333332"/>
    <n v="79.845089643913099"/>
    <n v="103.69296140901379"/>
    <n v="4.8410441606616867"/>
    <m/>
  </r>
  <r>
    <x v="2"/>
    <n v="23"/>
    <x v="2"/>
    <s v="Control"/>
    <s v="39_40"/>
    <n v="6.6379999999999999"/>
    <n v="6.2530000000000001"/>
    <m/>
    <m/>
    <n v="4.7622333333333335"/>
    <n v="71.694551192549554"/>
    <n v="94.183999882422967"/>
    <n v="4.485261837067374"/>
    <m/>
  </r>
  <r>
    <x v="2"/>
    <n v="18"/>
    <x v="10"/>
    <s v="Control"/>
    <s v="35_36"/>
    <n v="6.6219999999999999"/>
    <n v="6.2489999999999997"/>
    <m/>
    <m/>
    <n v="4.1345000000000001"/>
    <n v="84.825974253079679"/>
    <n v="100.52330756681684"/>
    <n v="4.1561361513500428"/>
    <m/>
  </r>
  <r>
    <x v="2"/>
    <n v="13"/>
    <x v="6"/>
    <s v="Control"/>
    <s v="17_18"/>
    <n v="6.69"/>
    <n v="6.2619999999999996"/>
    <m/>
    <m/>
    <n v="5.0799999999999992"/>
    <n v="76.222628109973741"/>
    <n v="100.97611525855926"/>
    <n v="5.1295866551348093"/>
    <m/>
  </r>
  <r>
    <x v="2"/>
    <n v="10"/>
    <x v="22"/>
    <s v="Dimethylglyoxime"/>
    <s v="5_6"/>
    <n v="6.6689999999999996"/>
    <n v="6.2539999999999996"/>
    <m/>
    <m/>
    <n v="5.1430999999999996"/>
    <n v="74.864205034746476"/>
    <n v="100.52330756681684"/>
    <n v="5.1700142314689561"/>
    <m/>
  </r>
  <r>
    <x v="2"/>
    <n v="16"/>
    <x v="15"/>
    <s v="Dimethylglyoxime"/>
    <s v="31_32"/>
    <n v="6.6210000000000004"/>
    <n v="6.2729999999999997"/>
    <m/>
    <m/>
    <n v="4.5545999999999998"/>
    <n v="80.750705027397899"/>
    <n v="105.50419217598343"/>
    <n v="4.8052939368473417"/>
    <m/>
  </r>
  <r>
    <x v="2"/>
    <n v="11"/>
    <x v="14"/>
    <s v="Dimethylglyoxime"/>
    <s v="29_30"/>
    <n v="6.6740000000000004"/>
    <n v="6.27"/>
    <m/>
    <m/>
    <n v="5.1755333333333331"/>
    <n v="74.864205034746476"/>
    <n v="98.259269108104746"/>
    <n v="5.0854412257796637"/>
    <m/>
  </r>
  <r>
    <x v="2"/>
    <n v="24"/>
    <x v="4"/>
    <s v="Dimethylglyoxime"/>
    <s v="15_16"/>
    <n v="6.609"/>
    <n v="6.2690000000000001"/>
    <m/>
    <m/>
    <n v="4.9712666666666667"/>
    <n v="77.581051185200977"/>
    <n v="100.52330756681684"/>
    <n v="4.9972816812999765"/>
    <m/>
  </r>
  <r>
    <x v="2"/>
    <n v="4"/>
    <x v="21"/>
    <s v="Propionyl-L-Carnitine HCl"/>
    <s v="13_14"/>
    <n v="6.6070000000000002"/>
    <n v="6.2729999999999997"/>
    <m/>
    <m/>
    <n v="5.361066666666666"/>
    <n v="84.825974253079679"/>
    <n v="110.93788447689249"/>
    <n v="5.947453945395857"/>
    <m/>
  </r>
  <r>
    <x v="2"/>
    <n v="15"/>
    <x v="7"/>
    <s v="Propionyl-L-Carnitine HCl"/>
    <s v="3_4"/>
    <n v="6.69"/>
    <n v="6.2240000000000002"/>
    <m/>
    <m/>
    <n v="5.0777999999999999"/>
    <n v="71.694551192549554"/>
    <n v="97.806461416362325"/>
    <n v="4.9664164978000462"/>
    <m/>
  </r>
  <r>
    <x v="2"/>
    <n v="21"/>
    <x v="12"/>
    <s v="Propionyl-L-Carnitine HCl"/>
    <s v="37_38"/>
    <n v="6.6669999999999998"/>
    <n v="6.2569999999999997"/>
    <m/>
    <m/>
    <n v="4.9238333333333335"/>
    <n v="73.05297426777679"/>
    <n v="96.448038341135089"/>
    <n v="4.748940661186924"/>
    <m/>
  </r>
  <r>
    <x v="2"/>
    <n v="2"/>
    <x v="1"/>
    <s v="Propionyl-L-Carnitine HCl"/>
    <s v="21_22"/>
    <n v="6.68"/>
    <n v="6.2720000000000002"/>
    <m/>
    <m/>
    <n v="5.3995666666666677"/>
    <n v="73.05297426777679"/>
    <n v="96.45"/>
    <n v="5.2078820500000003"/>
    <m/>
  </r>
  <r>
    <x v="2"/>
    <n v="20"/>
    <x v="13"/>
    <s v="Pyrimidine"/>
    <s v="23_24"/>
    <n v="6.6639999999999997"/>
    <n v="6.2729999999999997"/>
    <m/>
    <m/>
    <n v="4.8939000000000004"/>
    <n v="70.788935809064697"/>
    <n v="94.183999882422967"/>
    <n v="4.6092707702458977"/>
    <m/>
  </r>
  <r>
    <x v="2"/>
    <n v="3"/>
    <x v="23"/>
    <s v="Pyrimidine"/>
    <s v="25_26"/>
    <n v="6.6660000000000004"/>
    <n v="6.2569999999999997"/>
    <m/>
    <m/>
    <n v="5.0803333333333329"/>
    <n v="69.883320425579896"/>
    <n v="95.995230649392653"/>
    <n v="4.8768777010913116"/>
    <m/>
  </r>
  <r>
    <x v="2"/>
    <n v="5"/>
    <x v="0"/>
    <s v="Pyrimidine"/>
    <s v="19_20"/>
    <n v="6.5979999999999999"/>
    <n v="6.2640000000000002"/>
    <m/>
    <m/>
    <n v="5.0266333333333328"/>
    <n v="84.373166561337257"/>
    <n v="109.12665370992281"/>
    <n v="5.4853967509342159"/>
    <m/>
  </r>
  <r>
    <x v="2"/>
    <n v="22"/>
    <x v="9"/>
    <s v="Pyrimidine"/>
    <s v="11_12"/>
    <n v="6.6890000000000001"/>
    <n v="6.2649999999999997"/>
    <m/>
    <m/>
    <n v="5.0442"/>
    <n v="76.222628109973741"/>
    <n v="99.617692183331997"/>
    <n v="5.024915629111633"/>
    <m/>
  </r>
  <r>
    <x v="2"/>
    <n v="6"/>
    <x v="11"/>
    <s v="Safrole"/>
    <s v="9_10"/>
    <n v="6.6879999999999997"/>
    <n v="6.2779999999999996"/>
    <m/>
    <m/>
    <n v="4.8911000000000007"/>
    <n v="72.147358884291961"/>
    <n v="95.089615265907838"/>
    <n v="4.6509281722708185"/>
    <m/>
  </r>
  <r>
    <x v="2"/>
    <n v="8"/>
    <x v="5"/>
    <s v="Safrole"/>
    <s v="27_28"/>
    <n v="6.6710000000000003"/>
    <n v="6.2729999999999997"/>
    <m/>
    <m/>
    <n v="4.8071666666666664"/>
    <n v="72.600166576034368"/>
    <n v="95.995230649392653"/>
    <n v="4.6146507293673871"/>
    <m/>
  </r>
  <r>
    <x v="2"/>
    <n v="14"/>
    <x v="17"/>
    <s v="Safrole"/>
    <s v="1_2"/>
    <n v="6.68"/>
    <n v="6.2439999999999998"/>
    <m/>
    <m/>
    <n v="5.3498666666666663"/>
    <n v="76.222628109973741"/>
    <n v="100.52330756681684"/>
    <n v="5.3778629237479443"/>
    <m/>
  </r>
  <r>
    <x v="2"/>
    <n v="9"/>
    <x v="19"/>
    <s v="Safrole"/>
    <s v="7_8"/>
    <n v="6.585"/>
    <n v="6.2750000000000004"/>
    <m/>
    <m/>
    <n v="4.9162333333333335"/>
    <n v="83.920358869594835"/>
    <n v="107.76823063469554"/>
    <n v="5.29813767720644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688CB-788A-46EB-973D-C5657E5EA49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26" firstHeaderRow="0" firstDataRow="1" firstDataCol="1"/>
  <pivotFields count="14">
    <pivotField showAll="0">
      <items count="4">
        <item x="0"/>
        <item x="1"/>
        <item x="2"/>
        <item t="default"/>
      </items>
    </pivotField>
    <pivotField showAll="0"/>
    <pivotField axis="axisRow" showAll="0">
      <items count="25">
        <item x="23"/>
        <item x="10"/>
        <item x="19"/>
        <item x="21"/>
        <item x="22"/>
        <item x="8"/>
        <item x="1"/>
        <item x="0"/>
        <item x="16"/>
        <item x="12"/>
        <item x="17"/>
        <item x="5"/>
        <item x="7"/>
        <item x="6"/>
        <item x="13"/>
        <item x="3"/>
        <item x="11"/>
        <item x="18"/>
        <item x="9"/>
        <item x="14"/>
        <item x="20"/>
        <item x="2"/>
        <item x="1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H4.prod" fld="12" subtotal="average" baseField="2" baseItem="0"/>
    <dataField name="Count of CH4.prod" fld="12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4922-814A-4E58-AD24-F609210115EA}">
  <dimension ref="A1:V61"/>
  <sheetViews>
    <sheetView tabSelected="1" workbookViewId="0">
      <pane ySplit="1" topLeftCell="A2" activePane="bottomLeft" state="frozen"/>
      <selection pane="bottomLeft" activeCell="K18" sqref="K18"/>
    </sheetView>
  </sheetViews>
  <sheetFormatPr defaultRowHeight="14.4" x14ac:dyDescent="0.3"/>
  <cols>
    <col min="4" max="4" width="29.109375" bestFit="1" customWidth="1"/>
    <col min="5" max="5" width="12.88671875" bestFit="1" customWidth="1"/>
    <col min="6" max="9" width="12.88671875" customWidth="1"/>
    <col min="10" max="10" width="12" bestFit="1" customWidth="1"/>
    <col min="11" max="12" width="14.88671875" bestFit="1" customWidth="1"/>
    <col min="13" max="13" width="12" bestFit="1" customWidth="1"/>
  </cols>
  <sheetData>
    <row r="1" spans="1:22" ht="15.6" x14ac:dyDescent="0.3">
      <c r="A1" s="11" t="s">
        <v>28</v>
      </c>
      <c r="B1" s="12" t="s">
        <v>0</v>
      </c>
      <c r="C1" s="12" t="s">
        <v>1</v>
      </c>
      <c r="D1" s="12" t="s">
        <v>38</v>
      </c>
      <c r="E1" s="12" t="s">
        <v>2</v>
      </c>
      <c r="F1" s="12" t="s">
        <v>30</v>
      </c>
      <c r="G1" s="12" t="s">
        <v>31</v>
      </c>
      <c r="H1" s="12" t="s">
        <v>36</v>
      </c>
      <c r="I1" s="12" t="s">
        <v>35</v>
      </c>
      <c r="J1" s="12" t="s">
        <v>29</v>
      </c>
      <c r="K1" s="12" t="s">
        <v>32</v>
      </c>
      <c r="L1" s="12" t="s">
        <v>33</v>
      </c>
      <c r="M1" s="12" t="s">
        <v>34</v>
      </c>
      <c r="N1" s="12" t="s">
        <v>37</v>
      </c>
      <c r="O1" s="20" t="s">
        <v>43</v>
      </c>
      <c r="P1" s="20" t="s">
        <v>44</v>
      </c>
      <c r="Q1" s="20" t="s">
        <v>45</v>
      </c>
      <c r="R1" s="20" t="s">
        <v>46</v>
      </c>
      <c r="S1" s="20" t="s">
        <v>47</v>
      </c>
      <c r="T1" s="20" t="s">
        <v>48</v>
      </c>
      <c r="U1" s="20" t="s">
        <v>49</v>
      </c>
      <c r="V1" s="20" t="s">
        <v>50</v>
      </c>
    </row>
    <row r="2" spans="1:22" ht="15.6" x14ac:dyDescent="0.3">
      <c r="A2">
        <v>1</v>
      </c>
      <c r="B2" s="1">
        <v>14</v>
      </c>
      <c r="C2" s="1">
        <v>32</v>
      </c>
      <c r="D2" s="1" t="s">
        <v>23</v>
      </c>
      <c r="E2" s="1" t="s">
        <v>3</v>
      </c>
      <c r="F2" s="2">
        <v>6.69</v>
      </c>
      <c r="G2" s="2">
        <v>6.2629999999999999</v>
      </c>
      <c r="H2" s="2">
        <v>51.085009291080823</v>
      </c>
      <c r="I2" s="2">
        <v>69.094725481146952</v>
      </c>
      <c r="J2">
        <v>4.9637000000000002</v>
      </c>
      <c r="K2">
        <v>83.882624895282987</v>
      </c>
      <c r="L2">
        <v>107.65502871175994</v>
      </c>
      <c r="M2">
        <f>L2*J2/100</f>
        <v>5.3436726601656277</v>
      </c>
      <c r="N2" s="3">
        <v>26.812000000000001</v>
      </c>
      <c r="O2">
        <v>39.076671344410016</v>
      </c>
      <c r="P2">
        <v>18.00290241576176</v>
      </c>
      <c r="Q2">
        <v>0.77494099543696238</v>
      </c>
      <c r="R2">
        <v>10.683071013934999</v>
      </c>
      <c r="S2">
        <v>1.9162116359558459</v>
      </c>
      <c r="T2">
        <v>1.9434998717714205</v>
      </c>
      <c r="U2">
        <v>72.397297277271008</v>
      </c>
      <c r="V2">
        <f>O2/P2</f>
        <v>2.1705761905479148</v>
      </c>
    </row>
    <row r="3" spans="1:22" ht="15.6" x14ac:dyDescent="0.3">
      <c r="A3">
        <v>1</v>
      </c>
      <c r="B3" s="1">
        <v>24</v>
      </c>
      <c r="C3" s="1">
        <v>31</v>
      </c>
      <c r="D3" s="1" t="s">
        <v>23</v>
      </c>
      <c r="E3" s="1" t="s">
        <v>4</v>
      </c>
      <c r="F3" s="2">
        <v>6.68</v>
      </c>
      <c r="G3" s="2">
        <v>6.2649999999999997</v>
      </c>
      <c r="H3" s="2">
        <v>51.302785494463492</v>
      </c>
      <c r="I3" s="2">
        <v>68.369679423573231</v>
      </c>
      <c r="J3">
        <v>5.0625</v>
      </c>
      <c r="K3">
        <v>90.221932579676832</v>
      </c>
      <c r="L3">
        <v>113.08872101266896</v>
      </c>
      <c r="M3">
        <f t="shared" ref="M3:M21" si="0">L3*J3/100</f>
        <v>5.7251165012663661</v>
      </c>
      <c r="N3" s="3">
        <v>25.32</v>
      </c>
      <c r="O3">
        <v>52.68397619137275</v>
      </c>
      <c r="P3">
        <v>23.50457882003996</v>
      </c>
      <c r="Q3">
        <v>1.0491111188298603</v>
      </c>
      <c r="R3">
        <v>13.987442518749919</v>
      </c>
      <c r="S3">
        <v>2.5605639065501538</v>
      </c>
      <c r="T3">
        <v>2.4608396637318304</v>
      </c>
      <c r="U3">
        <v>96.246512219274479</v>
      </c>
      <c r="V3">
        <f t="shared" ref="V3:V61" si="1">O3/P3</f>
        <v>2.2414345985410509</v>
      </c>
    </row>
    <row r="4" spans="1:22" ht="15.6" x14ac:dyDescent="0.3">
      <c r="A4">
        <v>1</v>
      </c>
      <c r="B4" s="1">
        <v>9</v>
      </c>
      <c r="C4" s="1">
        <v>47</v>
      </c>
      <c r="D4" s="1" t="s">
        <v>23</v>
      </c>
      <c r="E4" s="1" t="s">
        <v>5</v>
      </c>
      <c r="F4" s="2">
        <v>6.6920000000000002</v>
      </c>
      <c r="G4" s="2">
        <v>6.2779999999999996</v>
      </c>
      <c r="H4" s="2">
        <v>50.018165301147214</v>
      </c>
      <c r="I4" s="2">
        <v>67.747051356513964</v>
      </c>
      <c r="J4">
        <v>5.2168333333333328</v>
      </c>
      <c r="K4">
        <v>84.788240278767816</v>
      </c>
      <c r="L4">
        <v>106.74941332827511</v>
      </c>
      <c r="M4">
        <f t="shared" si="0"/>
        <v>5.5689389776472318</v>
      </c>
      <c r="N4" s="3">
        <v>22.76</v>
      </c>
      <c r="O4">
        <v>51.719325591772659</v>
      </c>
      <c r="P4">
        <v>23.615492625259591</v>
      </c>
      <c r="Q4">
        <v>1.0463007717160888</v>
      </c>
      <c r="R4">
        <v>13.828877158847554</v>
      </c>
      <c r="S4">
        <v>2.5472507478427113</v>
      </c>
      <c r="T4">
        <v>2.4803194555157972</v>
      </c>
      <c r="U4">
        <v>95.23756635095441</v>
      </c>
      <c r="V4">
        <f t="shared" si="1"/>
        <v>2.1900591451754288</v>
      </c>
    </row>
    <row r="5" spans="1:22" ht="15.6" x14ac:dyDescent="0.3">
      <c r="A5">
        <v>1</v>
      </c>
      <c r="B5" s="1">
        <v>19</v>
      </c>
      <c r="C5" s="1">
        <v>40</v>
      </c>
      <c r="D5" s="1" t="s">
        <v>23</v>
      </c>
      <c r="E5" s="1" t="s">
        <v>6</v>
      </c>
      <c r="F5" s="2">
        <v>6.6740000000000004</v>
      </c>
      <c r="G5" s="2">
        <v>6.2750000000000004</v>
      </c>
      <c r="H5" s="2">
        <v>49.275083362613699</v>
      </c>
      <c r="I5" s="2">
        <v>67.237858199066011</v>
      </c>
      <c r="J5">
        <v>4.9598333333333331</v>
      </c>
      <c r="K5">
        <v>89.316317196192003</v>
      </c>
      <c r="L5">
        <v>111.73029793744173</v>
      </c>
      <c r="M5">
        <f t="shared" si="0"/>
        <v>5.5416365605338811</v>
      </c>
      <c r="N5" s="3">
        <v>24.44</v>
      </c>
      <c r="O5">
        <v>49.171783693427713</v>
      </c>
      <c r="P5">
        <v>22.75816347009448</v>
      </c>
      <c r="Q5">
        <v>0.9900336509545391</v>
      </c>
      <c r="R5">
        <v>13.052929334287725</v>
      </c>
      <c r="S5">
        <v>2.4045670333089699</v>
      </c>
      <c r="T5">
        <v>2.4339131809870835</v>
      </c>
      <c r="U5">
        <v>90.811390363060497</v>
      </c>
      <c r="V5">
        <f t="shared" si="1"/>
        <v>2.1606217811925919</v>
      </c>
    </row>
    <row r="6" spans="1:22" ht="15.6" x14ac:dyDescent="0.3">
      <c r="A6">
        <v>1</v>
      </c>
      <c r="B6" s="1">
        <v>13</v>
      </c>
      <c r="C6" s="1">
        <v>49</v>
      </c>
      <c r="D6" s="1" t="s">
        <v>24</v>
      </c>
      <c r="E6" s="1" t="s">
        <v>7</v>
      </c>
      <c r="F6" s="2">
        <v>6.69</v>
      </c>
      <c r="G6" s="2">
        <v>6.2629999999999999</v>
      </c>
      <c r="H6" s="2">
        <v>51.247379612523773</v>
      </c>
      <c r="I6" s="2">
        <v>68.91657391497445</v>
      </c>
      <c r="J6">
        <v>5.1960333333333333</v>
      </c>
      <c r="K6">
        <v>83.316615280604964</v>
      </c>
      <c r="L6">
        <v>104.48537486956299</v>
      </c>
      <c r="M6">
        <f t="shared" si="0"/>
        <v>5.429094906680783</v>
      </c>
      <c r="N6" s="3">
        <v>26.077999999999999</v>
      </c>
      <c r="O6">
        <v>50.314581501034681</v>
      </c>
      <c r="P6">
        <v>23.085821162974959</v>
      </c>
      <c r="Q6">
        <v>0.98561411764127982</v>
      </c>
      <c r="R6">
        <v>13.411485778200046</v>
      </c>
      <c r="S6">
        <v>2.4165139131650513</v>
      </c>
      <c r="T6">
        <v>2.4539505663734982</v>
      </c>
      <c r="U6">
        <v>92.667967039389509</v>
      </c>
      <c r="V6">
        <f t="shared" si="1"/>
        <v>2.1794581681040315</v>
      </c>
    </row>
    <row r="7" spans="1:22" ht="15.6" x14ac:dyDescent="0.3">
      <c r="A7">
        <v>1</v>
      </c>
      <c r="B7" s="1">
        <v>10</v>
      </c>
      <c r="C7" s="1">
        <v>36</v>
      </c>
      <c r="D7" s="1" t="s">
        <v>24</v>
      </c>
      <c r="E7" s="1" t="s">
        <v>8</v>
      </c>
      <c r="F7" s="2">
        <v>6.6870000000000003</v>
      </c>
      <c r="G7" s="2">
        <v>6.2629999999999999</v>
      </c>
      <c r="H7" s="2">
        <v>49.050050586800637</v>
      </c>
      <c r="I7" s="2">
        <v>66.862598120895186</v>
      </c>
      <c r="J7">
        <v>5.0601999999999991</v>
      </c>
      <c r="K7">
        <v>82.071394128313315</v>
      </c>
      <c r="L7">
        <v>102.22133641085091</v>
      </c>
      <c r="M7">
        <f t="shared" si="0"/>
        <v>5.1726040650618765</v>
      </c>
      <c r="N7" s="3">
        <v>25.562000000000001</v>
      </c>
      <c r="O7">
        <v>52.104793408619166</v>
      </c>
      <c r="P7">
        <v>23.639654287567353</v>
      </c>
      <c r="Q7">
        <v>1.0379489916695286</v>
      </c>
      <c r="R7">
        <v>13.556850828113248</v>
      </c>
      <c r="S7">
        <v>2.493914941582434</v>
      </c>
      <c r="T7">
        <v>2.4923889891380115</v>
      </c>
      <c r="U7">
        <v>95.325551446689744</v>
      </c>
      <c r="V7">
        <f t="shared" si="1"/>
        <v>2.2041267090789183</v>
      </c>
    </row>
    <row r="8" spans="1:22" ht="15.6" x14ac:dyDescent="0.3">
      <c r="A8">
        <v>1</v>
      </c>
      <c r="B8" s="1">
        <v>17</v>
      </c>
      <c r="C8" s="1">
        <v>38</v>
      </c>
      <c r="D8" s="1" t="s">
        <v>24</v>
      </c>
      <c r="E8" s="1" t="s">
        <v>9</v>
      </c>
      <c r="F8" s="2">
        <v>6.6950000000000003</v>
      </c>
      <c r="G8" s="2">
        <v>6.2489999999999997</v>
      </c>
      <c r="H8" s="2">
        <v>52.230103934565662</v>
      </c>
      <c r="I8" s="2">
        <v>69.815531002331596</v>
      </c>
      <c r="J8">
        <v>5.3015999999999996</v>
      </c>
      <c r="K8">
        <v>88.750307581513965</v>
      </c>
      <c r="L8">
        <v>112.635913320927</v>
      </c>
      <c r="M8">
        <f t="shared" si="0"/>
        <v>5.9715055806222654</v>
      </c>
      <c r="N8" s="3">
        <v>26.488</v>
      </c>
      <c r="O8">
        <v>49.904497313584471</v>
      </c>
      <c r="P8">
        <v>22.920572365046155</v>
      </c>
      <c r="Q8">
        <v>1.001054774740624</v>
      </c>
      <c r="R8">
        <v>13.478541397208598</v>
      </c>
      <c r="S8">
        <v>2.4490818313656955</v>
      </c>
      <c r="T8">
        <v>2.442769797682673</v>
      </c>
      <c r="U8">
        <v>92.196517479628227</v>
      </c>
      <c r="V8">
        <f t="shared" si="1"/>
        <v>2.1772797170496827</v>
      </c>
    </row>
    <row r="9" spans="1:22" ht="15.6" x14ac:dyDescent="0.3">
      <c r="A9">
        <v>1</v>
      </c>
      <c r="B9" s="1">
        <v>22</v>
      </c>
      <c r="C9" s="1">
        <v>37</v>
      </c>
      <c r="D9" s="1" t="s">
        <v>24</v>
      </c>
      <c r="E9" s="1" t="s">
        <v>10</v>
      </c>
      <c r="F9" s="2">
        <v>6.702</v>
      </c>
      <c r="G9" s="2">
        <v>6.2720000000000002</v>
      </c>
      <c r="H9" s="2">
        <v>50.922841255315959</v>
      </c>
      <c r="I9" s="2">
        <v>68.72564975249233</v>
      </c>
      <c r="J9">
        <v>5.2571666666666665</v>
      </c>
      <c r="K9">
        <v>88.297499889771572</v>
      </c>
      <c r="L9">
        <v>110.37187486221445</v>
      </c>
      <c r="M9">
        <f t="shared" si="0"/>
        <v>5.8024334146313841</v>
      </c>
      <c r="N9" s="3">
        <v>26.053999999999998</v>
      </c>
      <c r="O9">
        <v>51.51057804901447</v>
      </c>
      <c r="P9">
        <v>24.032582547419267</v>
      </c>
      <c r="Q9">
        <v>1.0277238907593809</v>
      </c>
      <c r="R9">
        <v>13.650140274542366</v>
      </c>
      <c r="S9">
        <v>2.5040586728354395</v>
      </c>
      <c r="T9">
        <v>2.4762920671757858</v>
      </c>
      <c r="U9">
        <v>95.201375501746725</v>
      </c>
      <c r="V9">
        <f t="shared" si="1"/>
        <v>2.143364240916585</v>
      </c>
    </row>
    <row r="10" spans="1:22" ht="15.6" x14ac:dyDescent="0.3">
      <c r="A10">
        <v>1</v>
      </c>
      <c r="B10" s="1">
        <v>7</v>
      </c>
      <c r="C10" s="1">
        <v>29</v>
      </c>
      <c r="D10" s="1" t="s">
        <v>25</v>
      </c>
      <c r="E10" s="1" t="s">
        <v>11</v>
      </c>
      <c r="F10" s="2">
        <v>6.7110000000000003</v>
      </c>
      <c r="G10" s="2">
        <v>6.2469999999999999</v>
      </c>
      <c r="H10" s="2">
        <v>51.283613283682371</v>
      </c>
      <c r="I10" s="2">
        <v>69.708432013197651</v>
      </c>
      <c r="J10">
        <v>5.2786333333333326</v>
      </c>
      <c r="K10">
        <v>86.146663353995066</v>
      </c>
      <c r="L10">
        <v>108.56064409524477</v>
      </c>
      <c r="M10">
        <f t="shared" si="0"/>
        <v>5.7305183460929552</v>
      </c>
      <c r="N10" s="3">
        <v>25.584</v>
      </c>
      <c r="O10">
        <v>49.438671697551186</v>
      </c>
      <c r="P10">
        <v>23.216669321920669</v>
      </c>
      <c r="Q10">
        <v>0.99495740918552733</v>
      </c>
      <c r="R10">
        <v>13.106282195162375</v>
      </c>
      <c r="S10">
        <v>2.4531784240557428</v>
      </c>
      <c r="T10">
        <v>2.4589691218103833</v>
      </c>
      <c r="U10">
        <v>91.668728169685878</v>
      </c>
      <c r="V10">
        <f t="shared" si="1"/>
        <v>2.1294472093321448</v>
      </c>
    </row>
    <row r="11" spans="1:22" ht="15.6" x14ac:dyDescent="0.3">
      <c r="A11">
        <v>1</v>
      </c>
      <c r="B11" s="1">
        <v>12</v>
      </c>
      <c r="C11" s="1">
        <v>44</v>
      </c>
      <c r="D11" s="1" t="s">
        <v>25</v>
      </c>
      <c r="E11" s="1" t="s">
        <v>12</v>
      </c>
      <c r="F11" s="2">
        <v>6.68</v>
      </c>
      <c r="G11" s="2">
        <v>6.274</v>
      </c>
      <c r="H11" s="2">
        <v>49.16459319065433</v>
      </c>
      <c r="I11" s="2">
        <v>68.830434669691954</v>
      </c>
      <c r="J11">
        <v>4.8388999999999998</v>
      </c>
      <c r="K11">
        <v>89.769124887934396</v>
      </c>
      <c r="L11">
        <v>111.2774902456993</v>
      </c>
      <c r="M11">
        <f t="shared" si="0"/>
        <v>5.384606475499143</v>
      </c>
      <c r="N11" s="3">
        <v>25.82</v>
      </c>
      <c r="O11">
        <v>47.59702392739387</v>
      </c>
      <c r="P11">
        <v>21.790401237632359</v>
      </c>
      <c r="Q11">
        <v>0.94855018340054587</v>
      </c>
      <c r="R11">
        <v>12.685600124682409</v>
      </c>
      <c r="S11">
        <v>2.310296669781037</v>
      </c>
      <c r="T11">
        <v>2.3232308558598014</v>
      </c>
      <c r="U11">
        <v>87.655102998750024</v>
      </c>
      <c r="V11">
        <f t="shared" si="1"/>
        <v>2.1843114960725494</v>
      </c>
    </row>
    <row r="12" spans="1:22" ht="15.6" x14ac:dyDescent="0.3">
      <c r="A12">
        <v>1</v>
      </c>
      <c r="B12" s="1">
        <v>1</v>
      </c>
      <c r="C12" s="1">
        <v>25</v>
      </c>
      <c r="D12" s="1" t="s">
        <v>25</v>
      </c>
      <c r="E12" s="1" t="s">
        <v>13</v>
      </c>
      <c r="F12" s="2">
        <v>6.6859999999999999</v>
      </c>
      <c r="G12" s="2">
        <v>6.27</v>
      </c>
      <c r="H12">
        <v>50.763021765116029</v>
      </c>
      <c r="I12">
        <v>68.718524374750118</v>
      </c>
      <c r="J12">
        <v>4.7377333333333338</v>
      </c>
      <c r="K12">
        <v>90.10873065674123</v>
      </c>
      <c r="L12">
        <v>113.99433639615383</v>
      </c>
      <c r="M12">
        <f t="shared" si="0"/>
        <v>5.4007476735527122</v>
      </c>
      <c r="N12" s="3">
        <v>27.35</v>
      </c>
      <c r="O12">
        <v>50.524714473841058</v>
      </c>
      <c r="P12">
        <v>22.800325592591168</v>
      </c>
      <c r="Q12">
        <v>1.0080673204575654</v>
      </c>
      <c r="R12">
        <v>13.142243143006169</v>
      </c>
      <c r="S12">
        <v>2.4143073248381346</v>
      </c>
      <c r="T12">
        <v>2.4226984135382827</v>
      </c>
      <c r="U12">
        <v>92.312356268272367</v>
      </c>
      <c r="V12">
        <f t="shared" si="1"/>
        <v>2.2159646040431444</v>
      </c>
    </row>
    <row r="13" spans="1:22" ht="15.6" x14ac:dyDescent="0.3">
      <c r="A13">
        <v>1</v>
      </c>
      <c r="B13" s="1">
        <v>11</v>
      </c>
      <c r="C13" s="1">
        <v>41</v>
      </c>
      <c r="D13" s="1" t="s">
        <v>25</v>
      </c>
      <c r="E13" s="1" t="s">
        <v>14</v>
      </c>
      <c r="F13" s="2">
        <v>6.7080000000000002</v>
      </c>
      <c r="G13" s="2">
        <v>6.2869999999999999</v>
      </c>
      <c r="H13">
        <v>50.522884251812229</v>
      </c>
      <c r="I13">
        <v>66.895397291366308</v>
      </c>
      <c r="J13">
        <v>5.1677666666666662</v>
      </c>
      <c r="K13">
        <v>78.448932594373971</v>
      </c>
      <c r="L13">
        <v>104.0325671778206</v>
      </c>
      <c r="M13">
        <f t="shared" si="0"/>
        <v>5.3761603290930191</v>
      </c>
      <c r="N13" s="3">
        <v>26.38</v>
      </c>
      <c r="O13">
        <v>45.78508655276098</v>
      </c>
      <c r="P13">
        <v>20.844964405926305</v>
      </c>
      <c r="Q13">
        <v>0.90896607376555694</v>
      </c>
      <c r="R13">
        <v>12.603729788717541</v>
      </c>
      <c r="S13">
        <v>2.2835935144364004</v>
      </c>
      <c r="T13">
        <v>2.3117123817757417</v>
      </c>
      <c r="U13">
        <v>84.73805271738253</v>
      </c>
      <c r="V13">
        <f t="shared" si="1"/>
        <v>2.1964578907961148</v>
      </c>
    </row>
    <row r="14" spans="1:22" ht="15.6" x14ac:dyDescent="0.3">
      <c r="A14">
        <v>1</v>
      </c>
      <c r="B14" s="1">
        <v>16</v>
      </c>
      <c r="C14" s="1">
        <v>34</v>
      </c>
      <c r="D14" s="1" t="s">
        <v>26</v>
      </c>
      <c r="E14" s="1" t="s">
        <v>15</v>
      </c>
      <c r="F14" s="2">
        <v>6.6890000000000001</v>
      </c>
      <c r="G14" s="2">
        <v>6.3710000000000004</v>
      </c>
      <c r="H14">
        <v>49.868133267519362</v>
      </c>
      <c r="I14">
        <v>67.623941808356122</v>
      </c>
      <c r="J14">
        <v>5.0892666666666662</v>
      </c>
      <c r="K14">
        <v>81.958192205377713</v>
      </c>
      <c r="L14">
        <v>104.48537486956299</v>
      </c>
      <c r="M14">
        <f t="shared" si="0"/>
        <v>5.3175393547783791</v>
      </c>
      <c r="N14" s="3">
        <v>23.832000000000001</v>
      </c>
      <c r="O14">
        <v>47.689397905615785</v>
      </c>
      <c r="P14">
        <v>21.571072679888594</v>
      </c>
      <c r="Q14">
        <v>0.96191187096512132</v>
      </c>
      <c r="R14">
        <v>13.065579651558714</v>
      </c>
      <c r="S14">
        <v>2.3461525458621533</v>
      </c>
      <c r="T14">
        <v>2.3153859339021028</v>
      </c>
      <c r="U14">
        <v>87.949500587792471</v>
      </c>
      <c r="V14">
        <f t="shared" si="1"/>
        <v>2.2108032647851652</v>
      </c>
    </row>
    <row r="15" spans="1:22" ht="15.6" x14ac:dyDescent="0.3">
      <c r="A15">
        <v>1</v>
      </c>
      <c r="B15" s="1">
        <v>3</v>
      </c>
      <c r="C15" s="1">
        <v>39</v>
      </c>
      <c r="D15" s="1" t="s">
        <v>26</v>
      </c>
      <c r="E15" s="1" t="s">
        <v>16</v>
      </c>
      <c r="F15" s="2">
        <v>6.6820000000000004</v>
      </c>
      <c r="G15" s="2">
        <v>6.2679999999999998</v>
      </c>
      <c r="H15">
        <v>49.738222801583788</v>
      </c>
      <c r="I15">
        <v>68.807228065155329</v>
      </c>
      <c r="J15">
        <v>4.8066666666666666</v>
      </c>
      <c r="K15">
        <v>88.410701812707174</v>
      </c>
      <c r="L15">
        <v>110.37187486221445</v>
      </c>
      <c r="M15">
        <f t="shared" si="0"/>
        <v>5.3052081183771076</v>
      </c>
      <c r="N15" s="3">
        <v>25.99</v>
      </c>
      <c r="O15">
        <v>53.134261696902158</v>
      </c>
      <c r="P15">
        <v>23.59310334004725</v>
      </c>
      <c r="Q15">
        <v>1.0105262702069195</v>
      </c>
      <c r="R15">
        <v>13.675658846868032</v>
      </c>
      <c r="S15">
        <v>2.4555520220193854</v>
      </c>
      <c r="T15">
        <v>2.5103572615852165</v>
      </c>
      <c r="U15">
        <v>96.379459437628952</v>
      </c>
      <c r="V15">
        <f t="shared" si="1"/>
        <v>2.2521099039443171</v>
      </c>
    </row>
    <row r="16" spans="1:22" ht="15.6" x14ac:dyDescent="0.3">
      <c r="A16">
        <v>1</v>
      </c>
      <c r="B16" s="1">
        <v>21</v>
      </c>
      <c r="C16" s="1">
        <v>45</v>
      </c>
      <c r="D16" s="1" t="s">
        <v>26</v>
      </c>
      <c r="E16" s="1" t="s">
        <v>17</v>
      </c>
      <c r="F16" s="2">
        <v>6.6820000000000004</v>
      </c>
      <c r="G16" s="2">
        <v>6.274</v>
      </c>
      <c r="H16">
        <v>50.787178381755282</v>
      </c>
      <c r="I16">
        <v>67.251363757108138</v>
      </c>
      <c r="J16">
        <v>5.1908333333333339</v>
      </c>
      <c r="K16">
        <v>82.071394128313315</v>
      </c>
      <c r="L16">
        <v>104.0325671778206</v>
      </c>
      <c r="M16">
        <f t="shared" si="0"/>
        <v>5.4001571745887045</v>
      </c>
      <c r="N16" s="3">
        <v>25.34</v>
      </c>
      <c r="O16">
        <v>49.108877311013025</v>
      </c>
      <c r="P16">
        <v>22.176566611508118</v>
      </c>
      <c r="Q16">
        <v>0.98090541322759761</v>
      </c>
      <c r="R16">
        <v>12.989212701776921</v>
      </c>
      <c r="S16">
        <v>2.3834493500307596</v>
      </c>
      <c r="T16">
        <v>2.3468190345040938</v>
      </c>
      <c r="U16">
        <v>89.985830422060502</v>
      </c>
      <c r="V16">
        <f t="shared" si="1"/>
        <v>2.214449070106681</v>
      </c>
    </row>
    <row r="17" spans="1:22" ht="15.6" x14ac:dyDescent="0.3">
      <c r="A17">
        <v>1</v>
      </c>
      <c r="B17" s="1">
        <v>6</v>
      </c>
      <c r="C17" s="1">
        <v>48</v>
      </c>
      <c r="D17" s="1" t="s">
        <v>26</v>
      </c>
      <c r="E17" s="1" t="s">
        <v>18</v>
      </c>
      <c r="F17" s="2">
        <v>6.7030000000000003</v>
      </c>
      <c r="G17" s="2">
        <v>6.2670000000000003</v>
      </c>
      <c r="H17">
        <v>49.423795699259173</v>
      </c>
      <c r="I17">
        <v>68.499370340684379</v>
      </c>
      <c r="J17">
        <v>4.9852999999999996</v>
      </c>
      <c r="K17">
        <v>86.599471045737502</v>
      </c>
      <c r="L17">
        <v>108.56064409524477</v>
      </c>
      <c r="M17">
        <f t="shared" si="0"/>
        <v>5.4120737900802371</v>
      </c>
      <c r="N17" s="3">
        <v>26.532</v>
      </c>
      <c r="O17">
        <v>49.970583122085714</v>
      </c>
      <c r="P17">
        <v>23.25410253451787</v>
      </c>
      <c r="Q17">
        <v>1.0158190837665928</v>
      </c>
      <c r="R17">
        <v>13.636964950076983</v>
      </c>
      <c r="S17">
        <v>2.5054277043474862</v>
      </c>
      <c r="T17">
        <v>2.5356951570886261</v>
      </c>
      <c r="U17">
        <v>92.918592551883265</v>
      </c>
      <c r="V17">
        <f t="shared" si="1"/>
        <v>2.1488932134839649</v>
      </c>
    </row>
    <row r="18" spans="1:22" ht="15.6" x14ac:dyDescent="0.3">
      <c r="A18">
        <v>1</v>
      </c>
      <c r="B18" s="1">
        <v>15</v>
      </c>
      <c r="C18" s="1">
        <v>33</v>
      </c>
      <c r="D18" s="1" t="s">
        <v>27</v>
      </c>
      <c r="E18" s="1" t="s">
        <v>19</v>
      </c>
      <c r="F18" s="2">
        <v>6.6849999999999996</v>
      </c>
      <c r="G18" s="2">
        <v>6.258</v>
      </c>
      <c r="H18">
        <v>50.85220539653109</v>
      </c>
      <c r="I18">
        <v>68.476763602029081</v>
      </c>
      <c r="J18">
        <v>4.9917000000000007</v>
      </c>
      <c r="K18">
        <v>83.882624895282987</v>
      </c>
      <c r="L18">
        <v>106.29660563653268</v>
      </c>
      <c r="M18">
        <f t="shared" si="0"/>
        <v>5.3060076635588018</v>
      </c>
      <c r="N18" s="3">
        <v>26.38</v>
      </c>
      <c r="O18">
        <v>50.89194936821012</v>
      </c>
      <c r="P18">
        <v>23.456773376703605</v>
      </c>
      <c r="Q18">
        <v>1.021327776925864</v>
      </c>
      <c r="R18">
        <v>13.572621710499604</v>
      </c>
      <c r="S18">
        <v>2.4883505873191289</v>
      </c>
      <c r="T18">
        <v>4.0218472154509435</v>
      </c>
      <c r="U18">
        <v>95.452870035109271</v>
      </c>
      <c r="V18">
        <f t="shared" si="1"/>
        <v>2.169605706245775</v>
      </c>
    </row>
    <row r="19" spans="1:22" ht="15.6" x14ac:dyDescent="0.3">
      <c r="A19">
        <v>1</v>
      </c>
      <c r="B19" s="1">
        <v>20</v>
      </c>
      <c r="C19" s="1">
        <v>35</v>
      </c>
      <c r="D19" s="1" t="s">
        <v>27</v>
      </c>
      <c r="E19" s="1" t="s">
        <v>20</v>
      </c>
      <c r="F19" s="2">
        <v>6.6829999999999998</v>
      </c>
      <c r="G19" s="2">
        <v>6.2489999999999997</v>
      </c>
      <c r="H19">
        <v>50.363487256408092</v>
      </c>
      <c r="I19">
        <v>67.91040408224724</v>
      </c>
      <c r="J19">
        <v>4.6889666666666665</v>
      </c>
      <c r="K19">
        <v>88.410701812707174</v>
      </c>
      <c r="L19">
        <v>111.2774902456993</v>
      </c>
      <c r="M19">
        <f t="shared" si="0"/>
        <v>5.2177644251240913</v>
      </c>
      <c r="N19" s="3">
        <v>21.8</v>
      </c>
      <c r="O19">
        <v>51.35424956707638</v>
      </c>
      <c r="P19">
        <v>23.675568462064213</v>
      </c>
      <c r="Q19">
        <v>1.0300554573301619</v>
      </c>
      <c r="R19">
        <v>13.568700539563901</v>
      </c>
      <c r="S19">
        <v>2.5184517745691242</v>
      </c>
      <c r="T19">
        <v>2.4693488125853875</v>
      </c>
      <c r="U19">
        <v>94.61637461318918</v>
      </c>
      <c r="V19">
        <f t="shared" si="1"/>
        <v>2.1690820074441808</v>
      </c>
    </row>
    <row r="20" spans="1:22" ht="15.6" x14ac:dyDescent="0.3">
      <c r="A20">
        <v>1</v>
      </c>
      <c r="B20" s="1">
        <v>4</v>
      </c>
      <c r="C20" s="1">
        <v>43</v>
      </c>
      <c r="D20" s="1" t="s">
        <v>27</v>
      </c>
      <c r="E20" s="1" t="s">
        <v>21</v>
      </c>
      <c r="F20" s="2">
        <v>6.6920000000000002</v>
      </c>
      <c r="G20" s="2">
        <v>6.2859999999999996</v>
      </c>
      <c r="H20">
        <v>49.234322112491597</v>
      </c>
      <c r="I20">
        <v>67.296712913399475</v>
      </c>
      <c r="J20">
        <v>4.9211666666666671</v>
      </c>
      <c r="K20">
        <v>82.977009511798144</v>
      </c>
      <c r="L20">
        <v>105.39099025304786</v>
      </c>
      <c r="M20">
        <f t="shared" si="0"/>
        <v>5.1864662820029075</v>
      </c>
      <c r="N20" s="3">
        <v>26.326000000000001</v>
      </c>
      <c r="O20">
        <v>49.133025409957384</v>
      </c>
      <c r="P20">
        <v>22.94147697828371</v>
      </c>
      <c r="Q20">
        <v>0.98358213508373793</v>
      </c>
      <c r="R20">
        <v>13.184611286934254</v>
      </c>
      <c r="S20">
        <v>2.4271018784427594</v>
      </c>
      <c r="T20">
        <v>2.5072412811703249</v>
      </c>
      <c r="U20">
        <v>91.177038969872171</v>
      </c>
      <c r="V20">
        <f t="shared" si="1"/>
        <v>2.1416679255858924</v>
      </c>
    </row>
    <row r="21" spans="1:22" ht="15.6" x14ac:dyDescent="0.3">
      <c r="A21" s="7">
        <v>1</v>
      </c>
      <c r="B21" s="8">
        <v>5</v>
      </c>
      <c r="C21" s="8">
        <v>26</v>
      </c>
      <c r="D21" s="8" t="s">
        <v>27</v>
      </c>
      <c r="E21" s="8" t="s">
        <v>22</v>
      </c>
      <c r="F21" s="9">
        <v>6.6820000000000004</v>
      </c>
      <c r="G21" s="9">
        <v>6.2560000000000002</v>
      </c>
      <c r="H21" s="7">
        <v>50.801772344340854</v>
      </c>
      <c r="I21" s="7">
        <v>68.775583983291114</v>
      </c>
      <c r="J21" s="7">
        <v>5.0728333333333326</v>
      </c>
      <c r="K21" s="7">
        <v>83.769422972347385</v>
      </c>
      <c r="L21" s="7">
        <v>106.29660563653268</v>
      </c>
      <c r="M21" s="7">
        <f t="shared" si="0"/>
        <v>5.3922496429319073</v>
      </c>
      <c r="N21" s="10">
        <v>26.1</v>
      </c>
      <c r="O21" s="7">
        <v>50.31737553220735</v>
      </c>
      <c r="P21" s="7">
        <v>23.565709164403188</v>
      </c>
      <c r="Q21" s="7">
        <v>1.0171634942736398</v>
      </c>
      <c r="R21" s="7">
        <v>13.702628936690973</v>
      </c>
      <c r="S21" s="7">
        <v>2.4712118487028123</v>
      </c>
      <c r="T21" s="7">
        <v>2.4967533656253522</v>
      </c>
      <c r="U21" s="7">
        <v>93.570842341903329</v>
      </c>
      <c r="V21" s="7">
        <f t="shared" si="1"/>
        <v>2.1351946245782187</v>
      </c>
    </row>
    <row r="22" spans="1:22" ht="15.6" x14ac:dyDescent="0.3">
      <c r="A22">
        <v>2</v>
      </c>
      <c r="B22" s="4">
        <v>4</v>
      </c>
      <c r="C22">
        <v>39</v>
      </c>
      <c r="D22" s="1" t="s">
        <v>23</v>
      </c>
      <c r="E22" t="s">
        <v>3</v>
      </c>
      <c r="F22" s="5">
        <v>6.52</v>
      </c>
      <c r="G22" s="5">
        <v>6.1559999999999997</v>
      </c>
      <c r="H22">
        <v>51.401221949118309</v>
      </c>
      <c r="I22">
        <v>66.976372974722011</v>
      </c>
      <c r="J22">
        <v>4.6863333333333337</v>
      </c>
      <c r="K22">
        <v>72.675634524658122</v>
      </c>
      <c r="L22">
        <v>93.84439411361619</v>
      </c>
      <c r="M22">
        <f>L22*J22/100</f>
        <v>4.3978611228111006</v>
      </c>
      <c r="N22" s="18">
        <v>27.571999999999999</v>
      </c>
      <c r="O22">
        <v>55.856552644268106</v>
      </c>
      <c r="P22">
        <v>25.127721915280119</v>
      </c>
      <c r="Q22">
        <v>1.0907873337023832</v>
      </c>
      <c r="R22">
        <v>16.478029964282172</v>
      </c>
      <c r="S22">
        <v>3.4613120461784423</v>
      </c>
      <c r="T22">
        <v>3.5730206918976242</v>
      </c>
      <c r="U22">
        <v>105.58742459560885</v>
      </c>
      <c r="V22">
        <f t="shared" si="1"/>
        <v>2.222905555568961</v>
      </c>
    </row>
    <row r="23" spans="1:22" ht="15.6" x14ac:dyDescent="0.3">
      <c r="A23">
        <v>2</v>
      </c>
      <c r="B23" s="4">
        <v>1</v>
      </c>
      <c r="C23">
        <v>41</v>
      </c>
      <c r="D23" s="1" t="s">
        <v>23</v>
      </c>
      <c r="E23" t="s">
        <v>17</v>
      </c>
      <c r="F23" s="5">
        <v>6.5540000000000003</v>
      </c>
      <c r="G23" s="5">
        <v>6.1660000000000004</v>
      </c>
      <c r="H23">
        <v>51.101887014992258</v>
      </c>
      <c r="I23">
        <v>66.678883542146025</v>
      </c>
      <c r="J23">
        <v>5.1246</v>
      </c>
      <c r="K23">
        <v>72.109624909980099</v>
      </c>
      <c r="L23">
        <v>93.84</v>
      </c>
      <c r="M23">
        <f t="shared" ref="M23:M41" si="2">L23*J23/100</f>
        <v>4.8089246399999999</v>
      </c>
      <c r="N23" s="18">
        <v>28.148</v>
      </c>
      <c r="O23">
        <v>53.271212291344213</v>
      </c>
      <c r="P23">
        <v>24.246894484811634</v>
      </c>
      <c r="Q23">
        <v>1.0526669055360107</v>
      </c>
      <c r="R23">
        <v>15.485685104128883</v>
      </c>
      <c r="S23">
        <v>3.3262996609687976</v>
      </c>
      <c r="T23">
        <v>3.5718950618563694</v>
      </c>
      <c r="U23">
        <v>100.95465350864589</v>
      </c>
      <c r="V23">
        <f t="shared" si="1"/>
        <v>2.1970323797430447</v>
      </c>
    </row>
    <row r="24" spans="1:22" ht="15.6" x14ac:dyDescent="0.3">
      <c r="A24">
        <v>2</v>
      </c>
      <c r="B24" s="4">
        <v>10</v>
      </c>
      <c r="C24" s="6">
        <v>46</v>
      </c>
      <c r="D24" s="1" t="s">
        <v>23</v>
      </c>
      <c r="E24" s="6" t="s">
        <v>13</v>
      </c>
      <c r="F24" s="5">
        <v>6.516</v>
      </c>
      <c r="G24" s="5">
        <v>6.1349999999999998</v>
      </c>
      <c r="H24">
        <v>53.267939058869572</v>
      </c>
      <c r="I24">
        <v>67.887673797587951</v>
      </c>
      <c r="J24">
        <v>5.0324666666666671</v>
      </c>
      <c r="K24">
        <v>79.014942209051981</v>
      </c>
      <c r="L24">
        <v>99.278086414525177</v>
      </c>
      <c r="M24">
        <f t="shared" si="2"/>
        <v>4.9961366061155088</v>
      </c>
      <c r="N24" s="18">
        <v>27.274000000000001</v>
      </c>
      <c r="O24">
        <v>57.295770471092922</v>
      </c>
      <c r="P24">
        <v>25.931614405921778</v>
      </c>
      <c r="Q24">
        <v>1.1392363023208536</v>
      </c>
      <c r="R24">
        <v>16.558932099904087</v>
      </c>
      <c r="S24">
        <v>3.4888688531075784</v>
      </c>
      <c r="T24">
        <v>3.3891954900097003</v>
      </c>
      <c r="U24">
        <v>107.80361762235691</v>
      </c>
      <c r="V24">
        <f t="shared" si="1"/>
        <v>2.2094949267026269</v>
      </c>
    </row>
    <row r="25" spans="1:22" ht="15.6" x14ac:dyDescent="0.3">
      <c r="A25">
        <v>2</v>
      </c>
      <c r="B25" s="4">
        <v>18</v>
      </c>
      <c r="C25">
        <v>40</v>
      </c>
      <c r="D25" s="1" t="s">
        <v>23</v>
      </c>
      <c r="E25" t="s">
        <v>12</v>
      </c>
      <c r="F25" s="5">
        <v>6.532</v>
      </c>
      <c r="G25" s="5">
        <v>6.1280000000000001</v>
      </c>
      <c r="H25">
        <v>50.697050813208293</v>
      </c>
      <c r="I25">
        <v>67.578749050890437</v>
      </c>
      <c r="J25">
        <v>5.1441666666666661</v>
      </c>
      <c r="K25">
        <v>79.920557592536824</v>
      </c>
      <c r="L25">
        <v>101.08931718149488</v>
      </c>
      <c r="M25">
        <f t="shared" si="2"/>
        <v>5.2002029580113982</v>
      </c>
      <c r="N25" s="18">
        <v>29.074000000000002</v>
      </c>
      <c r="O25">
        <v>56.231838196844976</v>
      </c>
      <c r="P25">
        <v>25.255049285941908</v>
      </c>
      <c r="Q25">
        <v>1.1140061865357758</v>
      </c>
      <c r="R25">
        <v>16.210223346606078</v>
      </c>
      <c r="S25">
        <v>3.5304075479688066</v>
      </c>
      <c r="T25">
        <v>3.4041007207481453</v>
      </c>
      <c r="U25">
        <v>105.74562528464568</v>
      </c>
      <c r="V25">
        <f t="shared" si="1"/>
        <v>2.2265582442615202</v>
      </c>
    </row>
    <row r="26" spans="1:22" ht="15.6" x14ac:dyDescent="0.3">
      <c r="A26">
        <v>2</v>
      </c>
      <c r="B26" s="4">
        <v>17</v>
      </c>
      <c r="C26" s="6">
        <v>37</v>
      </c>
      <c r="D26" s="1" t="s">
        <v>24</v>
      </c>
      <c r="E26" s="6" t="s">
        <v>14</v>
      </c>
      <c r="F26" s="5">
        <v>6.55</v>
      </c>
      <c r="G26" s="5">
        <v>6.1260000000000003</v>
      </c>
      <c r="H26">
        <v>50.647464496620188</v>
      </c>
      <c r="I26">
        <v>66.333179441749195</v>
      </c>
      <c r="J26">
        <v>4.821933333333333</v>
      </c>
      <c r="K26">
        <v>73.581249908142965</v>
      </c>
      <c r="L26">
        <v>95.20281718884344</v>
      </c>
      <c r="M26">
        <f t="shared" si="2"/>
        <v>4.590616376301238</v>
      </c>
      <c r="N26" s="18">
        <v>24.484000000000002</v>
      </c>
      <c r="O26">
        <v>54.249636265953129</v>
      </c>
      <c r="P26">
        <v>25.150092815999521</v>
      </c>
      <c r="Q26">
        <v>1.0640978602795546</v>
      </c>
      <c r="R26">
        <v>15.744715494498772</v>
      </c>
      <c r="S26">
        <v>3.3508602896325481</v>
      </c>
      <c r="T26">
        <v>3.4123137299655539</v>
      </c>
      <c r="U26">
        <v>102.97171645632909</v>
      </c>
      <c r="V26">
        <f t="shared" si="1"/>
        <v>2.1570352309571437</v>
      </c>
    </row>
    <row r="27" spans="1:22" ht="15.6" x14ac:dyDescent="0.3">
      <c r="A27">
        <v>2</v>
      </c>
      <c r="B27" s="4">
        <v>8</v>
      </c>
      <c r="C27">
        <v>26</v>
      </c>
      <c r="D27" s="1" t="s">
        <v>24</v>
      </c>
      <c r="E27" t="s">
        <v>9</v>
      </c>
      <c r="F27" s="5">
        <v>6.5339999999999998</v>
      </c>
      <c r="G27" s="5">
        <v>6.1520000000000001</v>
      </c>
      <c r="H27">
        <v>48.923146628474335</v>
      </c>
      <c r="I27">
        <v>66.028186318016878</v>
      </c>
      <c r="J27">
        <v>4.6801666666666666</v>
      </c>
      <c r="K27">
        <v>72.2228268329157</v>
      </c>
      <c r="L27">
        <v>90.221932579676832</v>
      </c>
      <c r="M27">
        <f t="shared" si="2"/>
        <v>4.2225368146165083</v>
      </c>
      <c r="N27" s="18">
        <v>27.488</v>
      </c>
      <c r="O27">
        <v>55.642976992661559</v>
      </c>
      <c r="P27">
        <v>25.136098038230639</v>
      </c>
      <c r="Q27">
        <v>1.1013635818854872</v>
      </c>
      <c r="R27">
        <v>16.203935452521826</v>
      </c>
      <c r="S27">
        <v>3.3653559076953377</v>
      </c>
      <c r="T27">
        <v>3.4797782359929545</v>
      </c>
      <c r="U27">
        <v>104.92950820898781</v>
      </c>
      <c r="V27">
        <f t="shared" si="1"/>
        <v>2.2136680445800145</v>
      </c>
    </row>
    <row r="28" spans="1:22" ht="15.6" x14ac:dyDescent="0.3">
      <c r="A28">
        <v>2</v>
      </c>
      <c r="B28" s="4">
        <v>13</v>
      </c>
      <c r="C28">
        <v>35</v>
      </c>
      <c r="D28" s="1" t="s">
        <v>24</v>
      </c>
      <c r="E28" t="s">
        <v>18</v>
      </c>
      <c r="F28" s="5">
        <v>6.532</v>
      </c>
      <c r="G28" s="5">
        <v>6.1440000000000001</v>
      </c>
      <c r="H28">
        <v>50.460149474955898</v>
      </c>
      <c r="I28">
        <v>66.718497748064792</v>
      </c>
      <c r="J28">
        <v>4.9878666666666662</v>
      </c>
      <c r="K28">
        <v>69.5059806824612</v>
      </c>
      <c r="L28">
        <v>92.033163346646504</v>
      </c>
      <c r="M28">
        <f t="shared" si="2"/>
        <v>4.5904914768462648</v>
      </c>
      <c r="N28" s="18">
        <v>27.295999999999999</v>
      </c>
      <c r="O28">
        <v>55.428482719839948</v>
      </c>
      <c r="P28">
        <v>25.003375095326291</v>
      </c>
      <c r="Q28">
        <v>1.0890414234693293</v>
      </c>
      <c r="R28">
        <v>16.193936440713088</v>
      </c>
      <c r="S28">
        <v>3.3662711854618719</v>
      </c>
      <c r="T28">
        <v>3.4641326338988332</v>
      </c>
      <c r="U28">
        <v>104.54523949870938</v>
      </c>
      <c r="V28">
        <f t="shared" si="1"/>
        <v>2.2168400269370361</v>
      </c>
    </row>
    <row r="29" spans="1:22" ht="15.6" x14ac:dyDescent="0.3">
      <c r="A29">
        <v>2</v>
      </c>
      <c r="B29" s="4">
        <v>19</v>
      </c>
      <c r="C29">
        <v>32</v>
      </c>
      <c r="D29" s="1" t="s">
        <v>24</v>
      </c>
      <c r="E29" t="s">
        <v>8</v>
      </c>
      <c r="F29" s="5">
        <v>6.54</v>
      </c>
      <c r="G29" s="5">
        <v>6.16</v>
      </c>
      <c r="H29">
        <v>50.557343193346085</v>
      </c>
      <c r="I29">
        <v>66.236368387526227</v>
      </c>
      <c r="J29">
        <v>4.7807333333333331</v>
      </c>
      <c r="K29">
        <v>73.581249908142965</v>
      </c>
      <c r="L29">
        <v>93.391586421873754</v>
      </c>
      <c r="M29">
        <f t="shared" si="2"/>
        <v>4.464802702599326</v>
      </c>
      <c r="N29" s="18">
        <v>29.51</v>
      </c>
      <c r="O29">
        <v>55.861402962196017</v>
      </c>
      <c r="P29">
        <v>24.907473419888333</v>
      </c>
      <c r="Q29">
        <v>1.1066284359341902</v>
      </c>
      <c r="R29">
        <v>16.153189157153811</v>
      </c>
      <c r="S29">
        <v>3.465683978303149</v>
      </c>
      <c r="T29">
        <v>3.4878151832416551</v>
      </c>
      <c r="U29">
        <v>104.98219313671716</v>
      </c>
      <c r="V29">
        <f t="shared" si="1"/>
        <v>2.2427567027971342</v>
      </c>
    </row>
    <row r="30" spans="1:22" ht="15.6" x14ac:dyDescent="0.3">
      <c r="A30">
        <v>2</v>
      </c>
      <c r="B30" s="4">
        <v>20</v>
      </c>
      <c r="C30" s="6">
        <v>27</v>
      </c>
      <c r="D30" s="1" t="s">
        <v>25</v>
      </c>
      <c r="E30" s="6" t="s">
        <v>21</v>
      </c>
      <c r="F30" s="5">
        <v>6.5330000000000004</v>
      </c>
      <c r="G30" s="5">
        <v>6.1429999999999998</v>
      </c>
      <c r="H30">
        <v>51.939258248733026</v>
      </c>
      <c r="I30">
        <v>67.507801198192254</v>
      </c>
      <c r="J30">
        <v>5.2085666666666661</v>
      </c>
      <c r="K30">
        <v>75.845288366855044</v>
      </c>
      <c r="L30">
        <v>98.372471031040362</v>
      </c>
      <c r="M30">
        <f t="shared" si="2"/>
        <v>5.1237957352990904</v>
      </c>
      <c r="N30" s="18">
        <v>20.643999999999998</v>
      </c>
      <c r="O30">
        <v>55.219829880026374</v>
      </c>
      <c r="P30">
        <v>25.713690174423292</v>
      </c>
      <c r="Q30">
        <v>1.087927923361937</v>
      </c>
      <c r="R30">
        <v>16.167554077615765</v>
      </c>
      <c r="S30">
        <v>3.3715201675942348</v>
      </c>
      <c r="T30">
        <v>3.4096069026538807</v>
      </c>
      <c r="U30">
        <v>104.97012912567548</v>
      </c>
      <c r="V30">
        <f t="shared" si="1"/>
        <v>2.1474875642295808</v>
      </c>
    </row>
    <row r="31" spans="1:22" ht="15.6" x14ac:dyDescent="0.3">
      <c r="A31">
        <v>2</v>
      </c>
      <c r="B31" s="4">
        <v>3</v>
      </c>
      <c r="C31">
        <v>47</v>
      </c>
      <c r="D31" s="1" t="s">
        <v>25</v>
      </c>
      <c r="E31" t="s">
        <v>11</v>
      </c>
      <c r="F31" s="5">
        <v>6.5679999999999996</v>
      </c>
      <c r="G31" s="5">
        <v>6.1349999999999998</v>
      </c>
      <c r="H31">
        <v>51.639909281695189</v>
      </c>
      <c r="I31">
        <v>67.062450724522549</v>
      </c>
      <c r="J31">
        <v>4.5308333333333328</v>
      </c>
      <c r="K31">
        <v>73.581249908142965</v>
      </c>
      <c r="L31">
        <v>91.127547963161661</v>
      </c>
      <c r="M31">
        <f t="shared" si="2"/>
        <v>4.1288373189642495</v>
      </c>
      <c r="N31" s="18">
        <v>28.231999999999999</v>
      </c>
      <c r="O31">
        <v>56.708347188142589</v>
      </c>
      <c r="P31">
        <v>25.50852315553594</v>
      </c>
      <c r="Q31">
        <v>1.1086236661290227</v>
      </c>
      <c r="R31">
        <v>16.323359958039266</v>
      </c>
      <c r="S31">
        <v>3.4717961814850398</v>
      </c>
      <c r="T31">
        <v>3.462474143122126</v>
      </c>
      <c r="U31">
        <v>106.58312429245399</v>
      </c>
      <c r="V31">
        <f t="shared" si="1"/>
        <v>2.2231136958564206</v>
      </c>
    </row>
    <row r="32" spans="1:22" ht="15.6" x14ac:dyDescent="0.3">
      <c r="A32">
        <v>2</v>
      </c>
      <c r="B32" s="4">
        <v>24</v>
      </c>
      <c r="C32">
        <v>38</v>
      </c>
      <c r="D32" s="1" t="s">
        <v>25</v>
      </c>
      <c r="E32" t="s">
        <v>10</v>
      </c>
      <c r="F32" s="5">
        <v>6.5279999999999996</v>
      </c>
      <c r="G32" s="5">
        <v>6.1050000000000004</v>
      </c>
      <c r="H32">
        <v>53.169558829182833</v>
      </c>
      <c r="I32">
        <v>68.447510735971733</v>
      </c>
      <c r="J32">
        <v>5.0845500000000001</v>
      </c>
      <c r="K32">
        <v>85.354249893445825</v>
      </c>
      <c r="L32">
        <v>105.16458640717667</v>
      </c>
      <c r="M32">
        <f t="shared" si="2"/>
        <v>5.3471459781661022</v>
      </c>
      <c r="N32" s="18">
        <v>19.018000000000001</v>
      </c>
      <c r="O32">
        <v>56.818898273321501</v>
      </c>
      <c r="P32">
        <v>25.609497094582466</v>
      </c>
      <c r="Q32">
        <v>1.131685828917409</v>
      </c>
      <c r="R32">
        <v>16.637956225261128</v>
      </c>
      <c r="S32">
        <v>3.5160135246249249</v>
      </c>
      <c r="T32">
        <v>3.348692212464512</v>
      </c>
      <c r="U32">
        <v>107.06274315917194</v>
      </c>
      <c r="V32">
        <f t="shared" si="1"/>
        <v>2.2186651328401603</v>
      </c>
    </row>
    <row r="33" spans="1:22" ht="15.6" x14ac:dyDescent="0.3">
      <c r="A33">
        <v>2</v>
      </c>
      <c r="B33" s="4">
        <v>6</v>
      </c>
      <c r="C33">
        <v>29</v>
      </c>
      <c r="D33" s="1" t="s">
        <v>25</v>
      </c>
      <c r="E33" t="s">
        <v>22</v>
      </c>
      <c r="F33" s="5">
        <v>6.52</v>
      </c>
      <c r="G33" s="5">
        <v>6.133</v>
      </c>
      <c r="H33">
        <v>51.830077165327424</v>
      </c>
      <c r="I33">
        <v>68.148805614140358</v>
      </c>
      <c r="J33">
        <v>4.7768333333333333</v>
      </c>
      <c r="K33">
        <v>77.203711442082309</v>
      </c>
      <c r="L33">
        <v>97.466855647555519</v>
      </c>
      <c r="M33">
        <f t="shared" si="2"/>
        <v>4.6558292495243139</v>
      </c>
      <c r="N33" s="18">
        <v>27.7</v>
      </c>
      <c r="O33">
        <v>53.511686639375739</v>
      </c>
      <c r="P33">
        <v>24.936512924956663</v>
      </c>
      <c r="Q33">
        <v>1.0597780079561867</v>
      </c>
      <c r="R33">
        <v>15.718235258493474</v>
      </c>
      <c r="S33">
        <v>3.3084359424316636</v>
      </c>
      <c r="T33">
        <v>3.4317379493039102</v>
      </c>
      <c r="U33">
        <v>101.96638672251764</v>
      </c>
      <c r="V33">
        <f t="shared" si="1"/>
        <v>2.1459169852822852</v>
      </c>
    </row>
    <row r="34" spans="1:22" ht="15.6" x14ac:dyDescent="0.3">
      <c r="A34">
        <v>2</v>
      </c>
      <c r="B34" s="4">
        <v>16</v>
      </c>
      <c r="C34">
        <v>33</v>
      </c>
      <c r="D34" s="1" t="s">
        <v>26</v>
      </c>
      <c r="E34" t="s">
        <v>4</v>
      </c>
      <c r="F34" s="5">
        <v>6.5129999999999999</v>
      </c>
      <c r="G34" s="5">
        <v>6.14</v>
      </c>
      <c r="H34">
        <v>50.688382403432897</v>
      </c>
      <c r="I34">
        <v>67.463751732621162</v>
      </c>
      <c r="J34">
        <v>5.1584000000000003</v>
      </c>
      <c r="K34">
        <v>77.656519133824744</v>
      </c>
      <c r="L34">
        <v>98.825278722782784</v>
      </c>
      <c r="M34">
        <f t="shared" si="2"/>
        <v>5.0978031776360275</v>
      </c>
      <c r="N34" s="18">
        <v>29</v>
      </c>
      <c r="O34">
        <v>54.702160142210623</v>
      </c>
      <c r="P34">
        <v>24.979821978337569</v>
      </c>
      <c r="Q34">
        <v>1.0961511488180453</v>
      </c>
      <c r="R34">
        <v>15.90128409375202</v>
      </c>
      <c r="S34">
        <v>3.3476556255026342</v>
      </c>
      <c r="T34">
        <v>3.3385851117098628</v>
      </c>
      <c r="U34">
        <v>103.36565810033076</v>
      </c>
      <c r="V34">
        <f t="shared" si="1"/>
        <v>2.1898538824515317</v>
      </c>
    </row>
    <row r="35" spans="1:22" ht="15.6" x14ac:dyDescent="0.3">
      <c r="A35">
        <v>2</v>
      </c>
      <c r="B35" s="4">
        <v>12</v>
      </c>
      <c r="C35">
        <v>36</v>
      </c>
      <c r="D35" s="1" t="s">
        <v>26</v>
      </c>
      <c r="E35" t="s">
        <v>19</v>
      </c>
      <c r="F35" s="5">
        <v>6.5549999999999997</v>
      </c>
      <c r="G35" s="5">
        <v>6.1470000000000002</v>
      </c>
      <c r="H35">
        <v>50.909883022016523</v>
      </c>
      <c r="I35">
        <v>66.984864240154138</v>
      </c>
      <c r="J35">
        <v>4.6589999999999998</v>
      </c>
      <c r="K35">
        <v>64.977903765037027</v>
      </c>
      <c r="L35">
        <v>82.524201820055723</v>
      </c>
      <c r="M35">
        <f t="shared" si="2"/>
        <v>3.8448025627963962</v>
      </c>
      <c r="N35" s="18">
        <v>26.06</v>
      </c>
      <c r="O35">
        <v>54.906603247748471</v>
      </c>
      <c r="P35">
        <v>25.002369460333483</v>
      </c>
      <c r="Q35">
        <v>1.0816505844511437</v>
      </c>
      <c r="R35">
        <v>16.209554083335739</v>
      </c>
      <c r="S35">
        <v>3.356356071016104</v>
      </c>
      <c r="T35">
        <v>3.4196824731310658</v>
      </c>
      <c r="U35">
        <v>103.97621592001602</v>
      </c>
      <c r="V35">
        <f t="shared" si="1"/>
        <v>2.196055991207488</v>
      </c>
    </row>
    <row r="36" spans="1:22" ht="15.6" x14ac:dyDescent="0.3">
      <c r="A36">
        <v>2</v>
      </c>
      <c r="B36" s="4">
        <v>15</v>
      </c>
      <c r="C36">
        <v>43</v>
      </c>
      <c r="D36" s="1" t="s">
        <v>26</v>
      </c>
      <c r="E36" t="s">
        <v>6</v>
      </c>
      <c r="F36" s="5"/>
      <c r="G36" s="5"/>
      <c r="N36" s="18"/>
    </row>
    <row r="37" spans="1:22" ht="15.6" x14ac:dyDescent="0.3">
      <c r="A37">
        <v>2</v>
      </c>
      <c r="B37" s="4">
        <v>21</v>
      </c>
      <c r="C37" s="6">
        <v>25</v>
      </c>
      <c r="D37" s="1" t="s">
        <v>26</v>
      </c>
      <c r="E37" s="6" t="s">
        <v>15</v>
      </c>
      <c r="F37" s="5">
        <v>6.5369999999999999</v>
      </c>
      <c r="G37" s="5">
        <v>6.125</v>
      </c>
      <c r="H37">
        <v>52.408992617830137</v>
      </c>
      <c r="I37">
        <v>69.071541934320862</v>
      </c>
      <c r="J37">
        <v>5.0034000000000001</v>
      </c>
      <c r="K37">
        <v>82.637403742991324</v>
      </c>
      <c r="L37">
        <v>102.44774025672214</v>
      </c>
      <c r="M37">
        <f t="shared" si="2"/>
        <v>5.125870236004836</v>
      </c>
      <c r="N37" s="18">
        <v>21.045999999999999</v>
      </c>
      <c r="O37">
        <v>55.651919575154906</v>
      </c>
      <c r="P37">
        <v>25.021822104829461</v>
      </c>
      <c r="Q37">
        <v>1.1034490322955077</v>
      </c>
      <c r="R37">
        <v>16.338446738768063</v>
      </c>
      <c r="S37">
        <v>3.4631326206316433</v>
      </c>
      <c r="T37">
        <v>3.3207948197355548</v>
      </c>
      <c r="U37">
        <v>104.89956489141514</v>
      </c>
      <c r="V37">
        <f t="shared" si="1"/>
        <v>2.224135370397887</v>
      </c>
    </row>
    <row r="38" spans="1:22" ht="15.6" x14ac:dyDescent="0.3">
      <c r="A38">
        <v>2</v>
      </c>
      <c r="B38" s="4">
        <v>14</v>
      </c>
      <c r="C38" s="6">
        <v>48</v>
      </c>
      <c r="D38" s="1" t="s">
        <v>27</v>
      </c>
      <c r="E38" s="6" t="s">
        <v>5</v>
      </c>
      <c r="F38" s="5">
        <v>6.5339999999999998</v>
      </c>
      <c r="G38" s="5">
        <v>6.1429999999999998</v>
      </c>
      <c r="H38">
        <v>52.365920381234275</v>
      </c>
      <c r="I38">
        <v>67.691354452141155</v>
      </c>
      <c r="J38">
        <v>4.4916333333333327</v>
      </c>
      <c r="K38">
        <v>75.845288366855044</v>
      </c>
      <c r="L38">
        <v>93.84439411361619</v>
      </c>
      <c r="M38">
        <f t="shared" si="2"/>
        <v>4.2151460874718882</v>
      </c>
      <c r="N38" s="18">
        <v>28.062000000000001</v>
      </c>
      <c r="O38">
        <v>54.860448201924484</v>
      </c>
      <c r="P38">
        <v>25.09789665213782</v>
      </c>
      <c r="Q38">
        <v>1.0778959079004835</v>
      </c>
      <c r="R38">
        <v>15.65266740079543</v>
      </c>
      <c r="S38">
        <v>3.3473077257433972</v>
      </c>
      <c r="T38">
        <v>4.4476219887958557</v>
      </c>
      <c r="U38">
        <v>104.48383787729746</v>
      </c>
      <c r="V38">
        <f t="shared" si="1"/>
        <v>2.185858399303414</v>
      </c>
    </row>
    <row r="39" spans="1:22" ht="15.6" x14ac:dyDescent="0.3">
      <c r="A39">
        <v>2</v>
      </c>
      <c r="B39" s="4">
        <v>7</v>
      </c>
      <c r="C39" s="6">
        <v>49</v>
      </c>
      <c r="D39" s="1" t="s">
        <v>27</v>
      </c>
      <c r="E39" s="6" t="s">
        <v>20</v>
      </c>
      <c r="F39" s="5">
        <v>6.5339999999999998</v>
      </c>
      <c r="G39" s="5">
        <v>6.1890000000000001</v>
      </c>
      <c r="H39">
        <v>51.069454206609706</v>
      </c>
      <c r="I39">
        <v>66.614949423586808</v>
      </c>
      <c r="J39">
        <v>5.0962666666666658</v>
      </c>
      <c r="K39">
        <v>69.279576836589996</v>
      </c>
      <c r="L39">
        <v>88.41</v>
      </c>
      <c r="M39">
        <f t="shared" si="2"/>
        <v>4.5056093599999993</v>
      </c>
      <c r="N39" s="18">
        <v>27.742000000000001</v>
      </c>
      <c r="O39">
        <v>53.971197375381735</v>
      </c>
      <c r="P39">
        <v>23.984566928721399</v>
      </c>
      <c r="Q39">
        <v>1.0537753017514553</v>
      </c>
      <c r="R39">
        <v>15.839677337035603</v>
      </c>
      <c r="S39">
        <v>3.3362682877927008</v>
      </c>
      <c r="T39">
        <v>3.2959917706864275</v>
      </c>
      <c r="U39">
        <v>101.48147700136931</v>
      </c>
      <c r="V39">
        <f t="shared" si="1"/>
        <v>2.2502468998408931</v>
      </c>
    </row>
    <row r="40" spans="1:22" ht="15.6" x14ac:dyDescent="0.3">
      <c r="A40">
        <v>2</v>
      </c>
      <c r="B40" s="4">
        <v>5</v>
      </c>
      <c r="C40" s="6">
        <v>34</v>
      </c>
      <c r="D40" s="1" t="s">
        <v>27</v>
      </c>
      <c r="E40" s="6" t="s">
        <v>16</v>
      </c>
      <c r="F40" s="5">
        <v>6.5449999999999999</v>
      </c>
      <c r="G40" s="5">
        <v>6.1159999999999997</v>
      </c>
      <c r="H40">
        <v>51.283875395874006</v>
      </c>
      <c r="I40">
        <v>67.695421474837758</v>
      </c>
      <c r="J40">
        <v>4.6776999999999997</v>
      </c>
      <c r="K40">
        <v>72.675634524658122</v>
      </c>
      <c r="L40">
        <v>93.391586421873754</v>
      </c>
      <c r="M40">
        <f t="shared" si="2"/>
        <v>4.3685782380559885</v>
      </c>
      <c r="N40" s="18">
        <v>27.85</v>
      </c>
      <c r="O40">
        <v>56.993088677299284</v>
      </c>
      <c r="P40">
        <v>25.807656425328716</v>
      </c>
      <c r="Q40">
        <v>1.1268016621981443</v>
      </c>
      <c r="R40">
        <v>16.654812932419517</v>
      </c>
      <c r="S40">
        <v>3.5069290629513254</v>
      </c>
      <c r="T40">
        <v>3.5656786709340569</v>
      </c>
      <c r="U40">
        <v>107.65496743113106</v>
      </c>
      <c r="V40">
        <f t="shared" si="1"/>
        <v>2.2083790847960869</v>
      </c>
    </row>
    <row r="41" spans="1:22" ht="15.6" x14ac:dyDescent="0.3">
      <c r="A41" s="7">
        <v>2</v>
      </c>
      <c r="B41" s="13">
        <v>23</v>
      </c>
      <c r="C41" s="7">
        <v>45</v>
      </c>
      <c r="D41" s="8" t="s">
        <v>27</v>
      </c>
      <c r="E41" s="7" t="s">
        <v>7</v>
      </c>
      <c r="F41" s="14">
        <v>6.5659999999999998</v>
      </c>
      <c r="G41" s="14">
        <v>6.1520000000000001</v>
      </c>
      <c r="H41" s="7">
        <v>49.677931856233997</v>
      </c>
      <c r="I41" s="7">
        <v>65.865855960228075</v>
      </c>
      <c r="J41" s="7">
        <v>4.9768333333333326</v>
      </c>
      <c r="K41" s="7">
        <v>65.883519148521842</v>
      </c>
      <c r="L41" s="7">
        <v>86.599471045737474</v>
      </c>
      <c r="M41" s="7">
        <f t="shared" si="2"/>
        <v>4.3099113414946109</v>
      </c>
      <c r="N41" s="19">
        <v>26.73</v>
      </c>
      <c r="O41" s="7">
        <v>45.538168663332449</v>
      </c>
      <c r="P41" s="7">
        <v>20.707282944980619</v>
      </c>
      <c r="Q41" s="7">
        <v>0.91535447527000535</v>
      </c>
      <c r="R41" s="7">
        <v>13.356740332748476</v>
      </c>
      <c r="S41" s="7">
        <v>2.9441301657294989</v>
      </c>
      <c r="T41" s="7">
        <v>2.9586419642781081</v>
      </c>
      <c r="U41" s="7">
        <v>86.420318546339161</v>
      </c>
      <c r="V41" s="7">
        <f t="shared" si="1"/>
        <v>2.199137800180142</v>
      </c>
    </row>
    <row r="42" spans="1:22" ht="15.6" x14ac:dyDescent="0.3">
      <c r="A42">
        <v>3</v>
      </c>
      <c r="B42" s="15">
        <v>19</v>
      </c>
      <c r="C42" s="6">
        <v>29</v>
      </c>
      <c r="D42" s="1" t="s">
        <v>23</v>
      </c>
      <c r="E42" s="6" t="s">
        <v>21</v>
      </c>
      <c r="F42" s="5">
        <v>6.593</v>
      </c>
      <c r="G42" s="5">
        <v>6.2750000000000004</v>
      </c>
      <c r="H42">
        <v>51.013363457361024</v>
      </c>
      <c r="I42">
        <v>66.41095564614352</v>
      </c>
      <c r="J42">
        <v>4.6686333333333332</v>
      </c>
      <c r="K42">
        <v>79.845089643913099</v>
      </c>
      <c r="L42">
        <v>103.69296140901379</v>
      </c>
      <c r="M42">
        <f>L42*J42/100</f>
        <v>4.8410441606616867</v>
      </c>
      <c r="N42" s="18">
        <v>24.603999999999999</v>
      </c>
      <c r="O42">
        <v>53.774189125218086</v>
      </c>
      <c r="P42">
        <v>25.862905935838349</v>
      </c>
      <c r="Q42">
        <v>1.0973639872792627</v>
      </c>
      <c r="R42">
        <v>13.90439870213968</v>
      </c>
      <c r="S42">
        <v>2.8920039362074998</v>
      </c>
      <c r="T42">
        <v>2.4464492714470198</v>
      </c>
      <c r="U42">
        <v>99.977310958129891</v>
      </c>
      <c r="V42">
        <f t="shared" si="1"/>
        <v>2.0792013572884298</v>
      </c>
    </row>
    <row r="43" spans="1:22" ht="15.6" x14ac:dyDescent="0.3">
      <c r="A43">
        <v>3</v>
      </c>
      <c r="B43" s="4">
        <v>23</v>
      </c>
      <c r="C43">
        <v>47</v>
      </c>
      <c r="D43" s="1" t="s">
        <v>23</v>
      </c>
      <c r="E43" t="s">
        <v>9</v>
      </c>
      <c r="F43" s="5">
        <v>6.6379999999999999</v>
      </c>
      <c r="G43" s="5">
        <v>6.2530000000000001</v>
      </c>
      <c r="H43">
        <v>51.106470265917309</v>
      </c>
      <c r="I43">
        <v>66.570509207236896</v>
      </c>
      <c r="J43">
        <v>4.7622333333333335</v>
      </c>
      <c r="K43">
        <v>71.694551192549554</v>
      </c>
      <c r="L43">
        <v>100.52330756681684</v>
      </c>
      <c r="M43">
        <f>L43*J43/100</f>
        <v>4.7871544607161409</v>
      </c>
      <c r="N43" s="18">
        <v>27.911999999999999</v>
      </c>
      <c r="O43">
        <v>54.592364410196403</v>
      </c>
      <c r="P43">
        <v>26.430205135814511</v>
      </c>
      <c r="Q43">
        <v>1.1002505203264641</v>
      </c>
      <c r="R43">
        <v>13.981517498129952</v>
      </c>
      <c r="S43">
        <v>2.9516987943788537</v>
      </c>
      <c r="T43">
        <v>2.4186782838346024</v>
      </c>
      <c r="U43">
        <v>101.47471464268079</v>
      </c>
      <c r="V43">
        <f t="shared" si="1"/>
        <v>2.0655293490787359</v>
      </c>
    </row>
    <row r="44" spans="1:22" ht="15.6" x14ac:dyDescent="0.3">
      <c r="A44">
        <v>3</v>
      </c>
      <c r="B44" s="4">
        <v>18</v>
      </c>
      <c r="C44">
        <v>25</v>
      </c>
      <c r="D44" s="1" t="s">
        <v>23</v>
      </c>
      <c r="E44" t="s">
        <v>22</v>
      </c>
      <c r="F44" s="5"/>
      <c r="G44" s="5"/>
      <c r="N44" s="18"/>
    </row>
    <row r="45" spans="1:22" ht="15.6" x14ac:dyDescent="0.3">
      <c r="A45">
        <v>3</v>
      </c>
      <c r="B45" s="4">
        <v>13</v>
      </c>
      <c r="C45" s="6">
        <v>38</v>
      </c>
      <c r="D45" s="1" t="s">
        <v>23</v>
      </c>
      <c r="E45" s="6" t="s">
        <v>10</v>
      </c>
      <c r="F45" s="5">
        <v>6.69</v>
      </c>
      <c r="G45" s="5">
        <v>6.2619999999999996</v>
      </c>
      <c r="H45">
        <v>60.005424778643729</v>
      </c>
      <c r="I45">
        <v>75.365226674315949</v>
      </c>
      <c r="J45">
        <v>5.0799999999999992</v>
      </c>
      <c r="K45">
        <v>76.222628109973741</v>
      </c>
      <c r="L45">
        <v>100.97611525855926</v>
      </c>
      <c r="M45">
        <f t="shared" ref="M45:M61" si="3">L45*J45/100</f>
        <v>5.1295866551348093</v>
      </c>
      <c r="N45" s="18">
        <v>20.39</v>
      </c>
      <c r="O45">
        <v>55.556089064462299</v>
      </c>
      <c r="P45">
        <v>25.860700711378684</v>
      </c>
      <c r="Q45">
        <v>1.1319408372416113</v>
      </c>
      <c r="R45">
        <v>14.324849832666418</v>
      </c>
      <c r="S45">
        <v>3.0468626223720516</v>
      </c>
      <c r="T45">
        <v>2.4577468610322608</v>
      </c>
      <c r="U45">
        <v>102.37818992915332</v>
      </c>
      <c r="V45">
        <f t="shared" si="1"/>
        <v>2.1482824338173354</v>
      </c>
    </row>
    <row r="46" spans="1:22" ht="15.6" x14ac:dyDescent="0.3">
      <c r="A46">
        <v>3</v>
      </c>
      <c r="B46" s="4">
        <v>10</v>
      </c>
      <c r="C46">
        <v>28</v>
      </c>
      <c r="D46" s="1" t="s">
        <v>24</v>
      </c>
      <c r="E46" t="s">
        <v>8</v>
      </c>
      <c r="F46" s="5">
        <v>6.6689999999999996</v>
      </c>
      <c r="G46" s="5">
        <v>6.2539999999999996</v>
      </c>
      <c r="H46">
        <v>53.867776293253307</v>
      </c>
      <c r="I46">
        <v>69.105284873852042</v>
      </c>
      <c r="J46">
        <v>5.1430999999999996</v>
      </c>
      <c r="K46">
        <v>74.864205034746476</v>
      </c>
      <c r="L46">
        <v>100.52330756681684</v>
      </c>
      <c r="M46">
        <f t="shared" si="3"/>
        <v>5.1700142314689561</v>
      </c>
      <c r="N46" s="18">
        <v>26.814</v>
      </c>
      <c r="O46">
        <v>53.958395504637082</v>
      </c>
      <c r="P46">
        <v>26.074729414887834</v>
      </c>
      <c r="Q46">
        <v>1.1089280515673625</v>
      </c>
      <c r="R46">
        <v>14.282502166922228</v>
      </c>
      <c r="S46">
        <v>2.9801414880011929</v>
      </c>
      <c r="T46">
        <v>2.4703001137780021</v>
      </c>
      <c r="U46">
        <v>100.87499673979369</v>
      </c>
      <c r="V46">
        <f t="shared" si="1"/>
        <v>2.0693750890403706</v>
      </c>
    </row>
    <row r="47" spans="1:22" ht="15.6" x14ac:dyDescent="0.3">
      <c r="A47">
        <v>3</v>
      </c>
      <c r="B47" s="15">
        <v>16</v>
      </c>
      <c r="C47" s="6">
        <v>48</v>
      </c>
      <c r="D47" s="1" t="s">
        <v>24</v>
      </c>
      <c r="E47" s="6" t="s">
        <v>14</v>
      </c>
      <c r="F47" s="5">
        <v>6.6210000000000004</v>
      </c>
      <c r="G47" s="5">
        <v>6.2729999999999997</v>
      </c>
      <c r="H47">
        <v>52.090136772937541</v>
      </c>
      <c r="I47">
        <v>67.662417855142166</v>
      </c>
      <c r="J47">
        <v>4.5545999999999998</v>
      </c>
      <c r="K47">
        <v>80.750705027397899</v>
      </c>
      <c r="L47">
        <v>105.50419217598343</v>
      </c>
      <c r="M47">
        <f t="shared" si="3"/>
        <v>4.8052939368473417</v>
      </c>
      <c r="N47" s="18">
        <v>23.152000000000001</v>
      </c>
      <c r="O47">
        <v>54.94266163954093</v>
      </c>
      <c r="P47">
        <v>25.840414165144974</v>
      </c>
      <c r="Q47">
        <v>1.1283026987311633</v>
      </c>
      <c r="R47">
        <v>13.98897426894996</v>
      </c>
      <c r="S47">
        <v>3.0015479437409454</v>
      </c>
      <c r="T47">
        <v>2.5103658512902869</v>
      </c>
      <c r="U47">
        <v>101.41226656739826</v>
      </c>
      <c r="V47">
        <f t="shared" si="1"/>
        <v>2.1262299159914675</v>
      </c>
    </row>
    <row r="48" spans="1:22" ht="15.6" x14ac:dyDescent="0.3">
      <c r="A48">
        <v>3</v>
      </c>
      <c r="B48" s="4">
        <v>11</v>
      </c>
      <c r="C48" s="6">
        <v>45</v>
      </c>
      <c r="D48" s="1" t="s">
        <v>24</v>
      </c>
      <c r="E48" s="6" t="s">
        <v>3</v>
      </c>
      <c r="F48" s="5">
        <v>6.6740000000000004</v>
      </c>
      <c r="G48" s="5">
        <v>6.27</v>
      </c>
      <c r="H48">
        <v>52.96139371460734</v>
      </c>
      <c r="I48">
        <v>68.640262047605518</v>
      </c>
      <c r="J48">
        <v>5.1755333333333331</v>
      </c>
      <c r="K48">
        <v>74.864205034746476</v>
      </c>
      <c r="L48">
        <v>98.259269108104746</v>
      </c>
      <c r="M48">
        <f t="shared" si="3"/>
        <v>5.0854412257796637</v>
      </c>
      <c r="N48" s="18">
        <v>18.911999999999999</v>
      </c>
      <c r="O48">
        <v>53.589051509124658</v>
      </c>
      <c r="P48">
        <v>25.152119100241478</v>
      </c>
      <c r="Q48">
        <v>1.0868037699886821</v>
      </c>
      <c r="R48">
        <v>14.054128648960894</v>
      </c>
      <c r="S48">
        <v>2.8436795078038806</v>
      </c>
      <c r="T48">
        <v>2.3982129254729188</v>
      </c>
      <c r="U48">
        <v>99.123995461592514</v>
      </c>
      <c r="V48">
        <f t="shared" si="1"/>
        <v>2.1305978750955488</v>
      </c>
    </row>
    <row r="49" spans="1:22" ht="15.6" x14ac:dyDescent="0.3">
      <c r="A49">
        <v>3</v>
      </c>
      <c r="B49" s="4">
        <v>24</v>
      </c>
      <c r="C49">
        <v>49</v>
      </c>
      <c r="D49" s="1" t="s">
        <v>24</v>
      </c>
      <c r="E49" t="s">
        <v>6</v>
      </c>
      <c r="F49" s="5">
        <v>6.609</v>
      </c>
      <c r="G49" s="5">
        <v>6.2690000000000001</v>
      </c>
      <c r="H49">
        <v>51.396268210611645</v>
      </c>
      <c r="I49">
        <v>66.536137917825855</v>
      </c>
      <c r="J49">
        <v>4.9712666666666667</v>
      </c>
      <c r="K49">
        <v>77.581051185200977</v>
      </c>
      <c r="L49">
        <v>100.52330756681684</v>
      </c>
      <c r="M49">
        <f t="shared" si="3"/>
        <v>4.9972816812999765</v>
      </c>
      <c r="N49" s="18">
        <v>30.175999999999998</v>
      </c>
      <c r="O49">
        <v>54.336886004014126</v>
      </c>
      <c r="P49">
        <v>25.758323908064185</v>
      </c>
      <c r="Q49">
        <v>1.1005470221029237</v>
      </c>
      <c r="R49">
        <v>14.152855570766455</v>
      </c>
      <c r="S49">
        <v>2.9165447897437664</v>
      </c>
      <c r="T49">
        <v>2.4354739987494067</v>
      </c>
      <c r="U49">
        <v>100.70063129344086</v>
      </c>
      <c r="V49">
        <f t="shared" si="1"/>
        <v>2.1094884200521613</v>
      </c>
    </row>
    <row r="50" spans="1:22" ht="15.6" x14ac:dyDescent="0.3">
      <c r="A50">
        <v>3</v>
      </c>
      <c r="B50" s="4">
        <v>4</v>
      </c>
      <c r="C50">
        <v>27</v>
      </c>
      <c r="D50" s="1" t="s">
        <v>25</v>
      </c>
      <c r="E50" t="s">
        <v>5</v>
      </c>
      <c r="F50" s="5">
        <v>6.6070000000000002</v>
      </c>
      <c r="G50" s="5">
        <v>6.2729999999999997</v>
      </c>
      <c r="H50">
        <v>51.932986778298229</v>
      </c>
      <c r="I50">
        <v>67.708437163529481</v>
      </c>
      <c r="J50">
        <v>5.361066666666666</v>
      </c>
      <c r="K50">
        <v>84.825974253079679</v>
      </c>
      <c r="L50">
        <v>110.93788447689249</v>
      </c>
      <c r="M50">
        <f t="shared" si="3"/>
        <v>5.947453945395857</v>
      </c>
      <c r="N50" s="18">
        <v>25.82</v>
      </c>
      <c r="O50">
        <v>49.766383587589289</v>
      </c>
      <c r="P50">
        <v>25.17726840555477</v>
      </c>
      <c r="Q50">
        <v>1.0771824253710438</v>
      </c>
      <c r="R50">
        <v>13.739456396236697</v>
      </c>
      <c r="S50">
        <v>2.8441759287335828</v>
      </c>
      <c r="T50">
        <v>2.3762707600201796</v>
      </c>
      <c r="U50">
        <v>94.980737503505566</v>
      </c>
      <c r="V50">
        <f t="shared" si="1"/>
        <v>1.9766395141027098</v>
      </c>
    </row>
    <row r="51" spans="1:22" ht="15.6" x14ac:dyDescent="0.3">
      <c r="A51">
        <v>3</v>
      </c>
      <c r="B51" s="4">
        <v>15</v>
      </c>
      <c r="C51">
        <v>37</v>
      </c>
      <c r="D51" s="1" t="s">
        <v>25</v>
      </c>
      <c r="E51" t="s">
        <v>17</v>
      </c>
      <c r="F51" s="5">
        <v>6.69</v>
      </c>
      <c r="G51" s="5">
        <v>6.2240000000000002</v>
      </c>
      <c r="H51">
        <v>55.814416752758504</v>
      </c>
      <c r="I51">
        <v>69.307562092691995</v>
      </c>
      <c r="J51">
        <v>5.0777999999999999</v>
      </c>
      <c r="K51">
        <v>71.694551192549554</v>
      </c>
      <c r="L51">
        <v>97.806461416362325</v>
      </c>
      <c r="M51">
        <f t="shared" si="3"/>
        <v>4.9664164978000462</v>
      </c>
      <c r="N51" s="18">
        <v>29.602</v>
      </c>
      <c r="O51">
        <v>54.097067073478598</v>
      </c>
      <c r="P51">
        <v>25.453917100174568</v>
      </c>
      <c r="Q51">
        <v>1.1060742304549755</v>
      </c>
      <c r="R51">
        <v>14.149069439789345</v>
      </c>
      <c r="S51">
        <v>2.984306824805401</v>
      </c>
      <c r="T51">
        <v>2.430076003492891</v>
      </c>
      <c r="U51">
        <v>100.22051067219579</v>
      </c>
      <c r="V51">
        <f t="shared" si="1"/>
        <v>2.1252943843801391</v>
      </c>
    </row>
    <row r="52" spans="1:22" ht="15.6" x14ac:dyDescent="0.3">
      <c r="A52">
        <v>3</v>
      </c>
      <c r="B52" s="4">
        <v>21</v>
      </c>
      <c r="C52">
        <v>34</v>
      </c>
      <c r="D52" s="1" t="s">
        <v>25</v>
      </c>
      <c r="E52" t="s">
        <v>19</v>
      </c>
      <c r="F52" s="5">
        <v>6.6669999999999998</v>
      </c>
      <c r="G52" s="5">
        <v>6.2569999999999997</v>
      </c>
      <c r="H52">
        <v>54.304614323875775</v>
      </c>
      <c r="I52">
        <v>68.129812935842693</v>
      </c>
      <c r="J52">
        <v>4.9238333333333335</v>
      </c>
      <c r="K52">
        <v>73.05297426777679</v>
      </c>
      <c r="L52">
        <v>96.448038341135089</v>
      </c>
      <c r="M52">
        <f t="shared" si="3"/>
        <v>4.748940661186924</v>
      </c>
      <c r="N52" s="18">
        <v>23.866</v>
      </c>
      <c r="O52">
        <v>53.767153545108556</v>
      </c>
      <c r="P52">
        <v>24.809779848680762</v>
      </c>
      <c r="Q52">
        <v>1.0831526965090026</v>
      </c>
      <c r="R52">
        <v>13.833453477809041</v>
      </c>
      <c r="S52">
        <v>2.9544730779455897</v>
      </c>
      <c r="T52">
        <v>2.3973946709013916</v>
      </c>
      <c r="U52">
        <v>98.845407316954351</v>
      </c>
      <c r="V52">
        <f t="shared" si="1"/>
        <v>2.1671757618585872</v>
      </c>
    </row>
    <row r="53" spans="1:22" ht="15.6" x14ac:dyDescent="0.3">
      <c r="A53">
        <v>3</v>
      </c>
      <c r="B53" s="4">
        <v>2</v>
      </c>
      <c r="C53" s="6">
        <v>31</v>
      </c>
      <c r="D53" s="1" t="s">
        <v>25</v>
      </c>
      <c r="E53" s="6" t="s">
        <v>15</v>
      </c>
      <c r="F53" s="5">
        <v>6.68</v>
      </c>
      <c r="G53" s="5">
        <v>6.2720000000000002</v>
      </c>
      <c r="H53">
        <v>52.725178609063327</v>
      </c>
      <c r="I53">
        <v>67.640616790409894</v>
      </c>
      <c r="J53">
        <v>5.3995666666666677</v>
      </c>
      <c r="K53">
        <v>73.05297426777679</v>
      </c>
      <c r="L53">
        <v>96.45</v>
      </c>
      <c r="M53">
        <f t="shared" si="3"/>
        <v>5.2078820500000003</v>
      </c>
      <c r="N53" s="18">
        <v>22.271999999999998</v>
      </c>
      <c r="O53">
        <v>47.50706418052701</v>
      </c>
      <c r="P53">
        <v>23.283134968492028</v>
      </c>
      <c r="Q53">
        <v>1.0469412787256767</v>
      </c>
      <c r="R53">
        <v>13.110392564684435</v>
      </c>
      <c r="S53">
        <v>2.8067125699469799</v>
      </c>
      <c r="T53">
        <v>2.2466223858990095</v>
      </c>
      <c r="U53">
        <v>90.000867948275143</v>
      </c>
      <c r="V53">
        <f t="shared" si="1"/>
        <v>2.0404066825543934</v>
      </c>
    </row>
    <row r="54" spans="1:22" ht="15.6" x14ac:dyDescent="0.3">
      <c r="A54">
        <v>3</v>
      </c>
      <c r="B54" s="4">
        <v>20</v>
      </c>
      <c r="C54">
        <v>39</v>
      </c>
      <c r="D54" s="1" t="s">
        <v>26</v>
      </c>
      <c r="E54" t="s">
        <v>16</v>
      </c>
      <c r="F54" s="5">
        <v>6.6639999999999997</v>
      </c>
      <c r="G54" s="5">
        <v>6.2729999999999997</v>
      </c>
      <c r="H54">
        <v>50.943668909827259</v>
      </c>
      <c r="I54">
        <v>66.180077289374282</v>
      </c>
      <c r="J54">
        <v>4.8939000000000004</v>
      </c>
      <c r="K54">
        <v>70.788935809064697</v>
      </c>
      <c r="L54">
        <v>94.183999882422967</v>
      </c>
      <c r="M54">
        <f t="shared" si="3"/>
        <v>4.6092707702458977</v>
      </c>
      <c r="N54" s="18">
        <v>27.577999999999999</v>
      </c>
      <c r="O54">
        <v>54.592761532426749</v>
      </c>
      <c r="P54">
        <v>25.724118955914062</v>
      </c>
      <c r="Q54">
        <v>1.0963663218793882</v>
      </c>
      <c r="R54">
        <v>14.053438834768365</v>
      </c>
      <c r="S54">
        <v>2.9895029376954216</v>
      </c>
      <c r="T54">
        <v>2.4284387263776894</v>
      </c>
      <c r="U54">
        <v>100.88462730906167</v>
      </c>
      <c r="V54">
        <f t="shared" si="1"/>
        <v>2.1222402845356028</v>
      </c>
    </row>
    <row r="55" spans="1:22" ht="15.6" x14ac:dyDescent="0.3">
      <c r="A55">
        <v>3</v>
      </c>
      <c r="B55" s="4">
        <v>3</v>
      </c>
      <c r="C55">
        <v>22</v>
      </c>
      <c r="D55" s="1" t="s">
        <v>26</v>
      </c>
      <c r="E55" t="s">
        <v>18</v>
      </c>
      <c r="F55" s="5">
        <v>6.6660000000000004</v>
      </c>
      <c r="G55" s="5">
        <v>6.2569999999999997</v>
      </c>
      <c r="H55">
        <v>52.432536550937442</v>
      </c>
      <c r="I55">
        <v>68.672242366410529</v>
      </c>
      <c r="J55">
        <v>5.0803333333333329</v>
      </c>
      <c r="K55">
        <v>69.883320425579896</v>
      </c>
      <c r="L55">
        <v>95.995230649392653</v>
      </c>
      <c r="M55">
        <f t="shared" si="3"/>
        <v>4.8768777010913116</v>
      </c>
      <c r="N55" s="18">
        <v>27.045999999999999</v>
      </c>
      <c r="O55">
        <v>49.594902877677676</v>
      </c>
      <c r="P55">
        <v>24.957821051559456</v>
      </c>
      <c r="Q55">
        <v>1.0698929655045402</v>
      </c>
      <c r="R55">
        <v>13.680428214613096</v>
      </c>
      <c r="S55">
        <v>2.8931252894638755</v>
      </c>
      <c r="T55">
        <v>2.3853278670250875</v>
      </c>
      <c r="U55">
        <v>94.58149826584372</v>
      </c>
      <c r="V55">
        <f t="shared" si="1"/>
        <v>1.9871487488920354</v>
      </c>
    </row>
    <row r="56" spans="1:22" ht="15.6" x14ac:dyDescent="0.3">
      <c r="A56">
        <v>3</v>
      </c>
      <c r="B56" s="4">
        <v>5</v>
      </c>
      <c r="C56">
        <v>32</v>
      </c>
      <c r="D56" s="1" t="s">
        <v>26</v>
      </c>
      <c r="E56" t="s">
        <v>20</v>
      </c>
      <c r="F56" s="5">
        <v>6.5979999999999999</v>
      </c>
      <c r="G56" s="5">
        <v>6.2640000000000002</v>
      </c>
      <c r="H56">
        <v>52.112968982709901</v>
      </c>
      <c r="I56">
        <v>67.49515875433714</v>
      </c>
      <c r="J56">
        <v>5.0266333333333328</v>
      </c>
      <c r="K56">
        <v>84.373166561337257</v>
      </c>
      <c r="L56">
        <v>109.12665370992281</v>
      </c>
      <c r="M56">
        <f t="shared" si="3"/>
        <v>5.4853967509342159</v>
      </c>
      <c r="N56" s="18">
        <v>28.462</v>
      </c>
      <c r="O56">
        <v>51.61552778195437</v>
      </c>
      <c r="P56">
        <v>25.069779790208308</v>
      </c>
      <c r="Q56">
        <v>1.0982101042284289</v>
      </c>
      <c r="R56">
        <v>13.885736470250777</v>
      </c>
      <c r="S56">
        <v>2.938221151267892</v>
      </c>
      <c r="T56">
        <v>2.4198394887276109</v>
      </c>
      <c r="U56">
        <v>97.027314786637376</v>
      </c>
      <c r="V56">
        <f t="shared" si="1"/>
        <v>2.058874398334932</v>
      </c>
    </row>
    <row r="57" spans="1:22" ht="15.6" x14ac:dyDescent="0.3">
      <c r="A57">
        <v>3</v>
      </c>
      <c r="B57" s="4">
        <v>22</v>
      </c>
      <c r="C57">
        <v>44</v>
      </c>
      <c r="D57" s="1" t="s">
        <v>26</v>
      </c>
      <c r="E57" t="s">
        <v>4</v>
      </c>
      <c r="F57" s="5">
        <v>6.6890000000000001</v>
      </c>
      <c r="G57" s="5">
        <v>6.2649999999999997</v>
      </c>
      <c r="H57">
        <v>53.875626682129734</v>
      </c>
      <c r="I57">
        <v>69.117756076203676</v>
      </c>
      <c r="J57">
        <v>5.0442</v>
      </c>
      <c r="K57">
        <v>76.222628109973741</v>
      </c>
      <c r="L57">
        <v>99.617692183331997</v>
      </c>
      <c r="M57">
        <f t="shared" si="3"/>
        <v>5.024915629111633</v>
      </c>
      <c r="N57" s="18">
        <v>29.152000000000001</v>
      </c>
      <c r="O57">
        <v>54.858357062783583</v>
      </c>
      <c r="P57">
        <v>25.007250781443801</v>
      </c>
      <c r="Q57">
        <v>1.1265701521998133</v>
      </c>
      <c r="R57">
        <v>13.972627226361915</v>
      </c>
      <c r="S57">
        <v>3.0334388502738618</v>
      </c>
      <c r="T57">
        <v>2.4566928525946077</v>
      </c>
      <c r="U57">
        <v>100.45493692565758</v>
      </c>
      <c r="V57">
        <f t="shared" si="1"/>
        <v>2.193698041509236</v>
      </c>
    </row>
    <row r="58" spans="1:22" ht="15.6" x14ac:dyDescent="0.3">
      <c r="A58">
        <v>3</v>
      </c>
      <c r="B58" s="4">
        <v>6</v>
      </c>
      <c r="C58" s="6">
        <v>41</v>
      </c>
      <c r="D58" s="1" t="s">
        <v>27</v>
      </c>
      <c r="E58" s="6" t="s">
        <v>13</v>
      </c>
      <c r="F58" s="5">
        <v>6.6879999999999997</v>
      </c>
      <c r="G58" s="5">
        <v>6.2779999999999996</v>
      </c>
      <c r="H58">
        <v>52.359250073620913</v>
      </c>
      <c r="I58">
        <v>67.273488333409688</v>
      </c>
      <c r="J58">
        <v>4.8911000000000007</v>
      </c>
      <c r="K58">
        <v>72.147358884291961</v>
      </c>
      <c r="L58">
        <v>95.089615265907838</v>
      </c>
      <c r="M58">
        <f t="shared" si="3"/>
        <v>4.6509281722708185</v>
      </c>
      <c r="N58" s="18">
        <v>26.391999999999999</v>
      </c>
      <c r="O58">
        <v>50.748684497118248</v>
      </c>
      <c r="P58">
        <v>24.560301703697831</v>
      </c>
      <c r="Q58">
        <v>1.0658853821920005</v>
      </c>
      <c r="R58">
        <v>13.192628330950885</v>
      </c>
      <c r="S58">
        <v>2.6075875826755435</v>
      </c>
      <c r="T58">
        <v>3.9630305659527121</v>
      </c>
      <c r="U58">
        <v>96.138118062587225</v>
      </c>
      <c r="V58">
        <f t="shared" si="1"/>
        <v>2.0662891323308727</v>
      </c>
    </row>
    <row r="59" spans="1:22" ht="15.6" x14ac:dyDescent="0.3">
      <c r="A59">
        <v>3</v>
      </c>
      <c r="B59" s="4">
        <v>8</v>
      </c>
      <c r="C59">
        <v>36</v>
      </c>
      <c r="D59" s="1" t="s">
        <v>27</v>
      </c>
      <c r="E59" t="s">
        <v>7</v>
      </c>
      <c r="F59" s="5">
        <v>6.6710000000000003</v>
      </c>
      <c r="G59" s="5">
        <v>6.2729999999999997</v>
      </c>
      <c r="H59">
        <v>52.546349621656532</v>
      </c>
      <c r="I59">
        <v>67.903464469997999</v>
      </c>
      <c r="J59">
        <v>4.8071666666666664</v>
      </c>
      <c r="K59">
        <v>72.600166576034368</v>
      </c>
      <c r="L59">
        <v>95.995230649392653</v>
      </c>
      <c r="M59">
        <f t="shared" si="3"/>
        <v>4.6146507293673871</v>
      </c>
      <c r="N59" s="18">
        <v>27.702000000000002</v>
      </c>
      <c r="O59">
        <v>53.660766441501011</v>
      </c>
      <c r="P59">
        <v>25.337462653504986</v>
      </c>
      <c r="Q59">
        <v>1.1130159071814754</v>
      </c>
      <c r="R59">
        <v>13.996585248830996</v>
      </c>
      <c r="S59">
        <v>2.9929194317477794</v>
      </c>
      <c r="T59">
        <v>2.4380893990467878</v>
      </c>
      <c r="U59">
        <v>99.538839081813023</v>
      </c>
      <c r="V59">
        <f t="shared" si="1"/>
        <v>2.1178429417074249</v>
      </c>
    </row>
    <row r="60" spans="1:22" ht="15.6" x14ac:dyDescent="0.3">
      <c r="A60">
        <v>3</v>
      </c>
      <c r="B60" s="4">
        <v>14</v>
      </c>
      <c r="C60" s="6">
        <v>35</v>
      </c>
      <c r="D60" s="1" t="s">
        <v>27</v>
      </c>
      <c r="E60" s="6" t="s">
        <v>12</v>
      </c>
      <c r="F60" s="5">
        <v>6.68</v>
      </c>
      <c r="G60" s="5">
        <v>6.2439999999999998</v>
      </c>
      <c r="H60">
        <v>54.185099440146516</v>
      </c>
      <c r="I60">
        <v>69.348831499892043</v>
      </c>
      <c r="J60">
        <v>5.3498666666666663</v>
      </c>
      <c r="K60">
        <v>76.222628109973741</v>
      </c>
      <c r="L60">
        <v>100.52330756681684</v>
      </c>
      <c r="M60">
        <f t="shared" si="3"/>
        <v>5.3778629237479443</v>
      </c>
      <c r="N60" s="18">
        <v>26.454000000000001</v>
      </c>
      <c r="O60">
        <v>54.756065676758972</v>
      </c>
      <c r="P60">
        <v>25.448250181664939</v>
      </c>
      <c r="Q60">
        <v>1.1275695414611799</v>
      </c>
      <c r="R60">
        <v>14.427524792625821</v>
      </c>
      <c r="S60">
        <v>3.0175059435520151</v>
      </c>
      <c r="T60">
        <v>2.4400467833840067</v>
      </c>
      <c r="U60">
        <v>101.21696291944693</v>
      </c>
      <c r="V60">
        <f t="shared" si="1"/>
        <v>2.1516632886692482</v>
      </c>
    </row>
    <row r="61" spans="1:22" ht="15.6" x14ac:dyDescent="0.3">
      <c r="A61">
        <v>3</v>
      </c>
      <c r="B61" s="15">
        <v>9</v>
      </c>
      <c r="C61" s="6">
        <v>26</v>
      </c>
      <c r="D61" s="1" t="s">
        <v>27</v>
      </c>
      <c r="E61" s="6" t="s">
        <v>11</v>
      </c>
      <c r="F61" s="5">
        <v>6.585</v>
      </c>
      <c r="G61" s="5">
        <v>6.2750000000000004</v>
      </c>
      <c r="H61">
        <v>51.65895248959032</v>
      </c>
      <c r="I61">
        <v>67.410838254804474</v>
      </c>
      <c r="J61">
        <v>4.9162333333333335</v>
      </c>
      <c r="K61">
        <v>83.920358869594835</v>
      </c>
      <c r="L61">
        <v>107.76823063469554</v>
      </c>
      <c r="M61">
        <f t="shared" si="3"/>
        <v>5.298137677206447</v>
      </c>
      <c r="N61" s="18">
        <v>25.693999999999999</v>
      </c>
      <c r="O61">
        <v>53.480648324506916</v>
      </c>
      <c r="P61">
        <v>26.005890399624136</v>
      </c>
      <c r="Q61">
        <v>1.1006332155848293</v>
      </c>
      <c r="R61">
        <v>13.918639712142841</v>
      </c>
      <c r="S61">
        <v>2.9372136176073149</v>
      </c>
      <c r="T61">
        <v>2.4580371481312264</v>
      </c>
      <c r="U61">
        <v>99.901062417597274</v>
      </c>
      <c r="V61">
        <f t="shared" si="1"/>
        <v>2.0564821085795191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2D049-5406-414E-88DB-AEEAA80B8107}">
  <dimension ref="A1:C26"/>
  <sheetViews>
    <sheetView workbookViewId="0">
      <selection activeCell="A25" sqref="A2:A25"/>
    </sheetView>
  </sheetViews>
  <sheetFormatPr defaultRowHeight="14.4" x14ac:dyDescent="0.3"/>
  <cols>
    <col min="1" max="1" width="13.44140625" bestFit="1" customWidth="1"/>
    <col min="2" max="2" width="19.6640625" bestFit="1" customWidth="1"/>
    <col min="3" max="4" width="18.109375" bestFit="1" customWidth="1"/>
  </cols>
  <sheetData>
    <row r="1" spans="1:3" x14ac:dyDescent="0.3">
      <c r="A1" s="16" t="s">
        <v>39</v>
      </c>
      <c r="B1" t="s">
        <v>41</v>
      </c>
      <c r="C1" t="s">
        <v>42</v>
      </c>
    </row>
    <row r="2" spans="1:3" x14ac:dyDescent="0.3">
      <c r="A2" s="17">
        <v>22</v>
      </c>
      <c r="B2">
        <v>4.8768777010913116</v>
      </c>
      <c r="C2">
        <v>1</v>
      </c>
    </row>
    <row r="3" spans="1:3" x14ac:dyDescent="0.3">
      <c r="A3" s="17">
        <v>25</v>
      </c>
      <c r="B3">
        <v>4.8942513536358634</v>
      </c>
      <c r="C3">
        <v>3</v>
      </c>
    </row>
    <row r="4" spans="1:3" x14ac:dyDescent="0.3">
      <c r="A4" s="17">
        <v>26</v>
      </c>
      <c r="B4">
        <v>4.9709747115849545</v>
      </c>
      <c r="C4">
        <v>3</v>
      </c>
    </row>
    <row r="5" spans="1:3" x14ac:dyDescent="0.3">
      <c r="A5" s="17">
        <v>27</v>
      </c>
      <c r="B5">
        <v>5.5356248403474737</v>
      </c>
      <c r="C5">
        <v>2</v>
      </c>
    </row>
    <row r="6" spans="1:3" x14ac:dyDescent="0.3">
      <c r="A6" s="17">
        <v>28</v>
      </c>
      <c r="B6">
        <v>5.1700142314689561</v>
      </c>
      <c r="C6">
        <v>1</v>
      </c>
    </row>
    <row r="7" spans="1:3" x14ac:dyDescent="0.3">
      <c r="A7" s="17">
        <v>29</v>
      </c>
      <c r="B7">
        <v>5.0757972520929853</v>
      </c>
      <c r="C7">
        <v>3</v>
      </c>
    </row>
    <row r="8" spans="1:3" x14ac:dyDescent="0.3">
      <c r="A8" s="17">
        <v>31</v>
      </c>
      <c r="B8">
        <v>5.4664992756331827</v>
      </c>
      <c r="C8">
        <v>2</v>
      </c>
    </row>
    <row r="9" spans="1:3" x14ac:dyDescent="0.3">
      <c r="A9" s="17">
        <v>32</v>
      </c>
      <c r="B9">
        <v>5.0979573712330568</v>
      </c>
      <c r="C9">
        <v>3</v>
      </c>
    </row>
    <row r="10" spans="1:3" x14ac:dyDescent="0.3">
      <c r="A10" s="17">
        <v>33</v>
      </c>
      <c r="B10">
        <v>5.2019054205974147</v>
      </c>
      <c r="C10">
        <v>2</v>
      </c>
    </row>
    <row r="11" spans="1:3" x14ac:dyDescent="0.3">
      <c r="A11" s="17">
        <v>34</v>
      </c>
      <c r="B11">
        <v>4.8116860846737639</v>
      </c>
      <c r="C11">
        <v>3</v>
      </c>
    </row>
    <row r="12" spans="1:3" x14ac:dyDescent="0.3">
      <c r="A12" s="17">
        <v>35</v>
      </c>
      <c r="B12">
        <v>5.0620396085727668</v>
      </c>
      <c r="C12">
        <v>3</v>
      </c>
    </row>
    <row r="13" spans="1:3" x14ac:dyDescent="0.3">
      <c r="A13" s="17">
        <v>36</v>
      </c>
      <c r="B13">
        <v>4.5440191190752204</v>
      </c>
      <c r="C13">
        <v>3</v>
      </c>
    </row>
    <row r="14" spans="1:3" x14ac:dyDescent="0.3">
      <c r="A14" s="17">
        <v>37</v>
      </c>
      <c r="B14">
        <v>5.1198220962442234</v>
      </c>
      <c r="C14">
        <v>3</v>
      </c>
    </row>
    <row r="15" spans="1:3" x14ac:dyDescent="0.3">
      <c r="A15" s="17">
        <v>38</v>
      </c>
      <c r="B15">
        <v>5.4827460713077256</v>
      </c>
      <c r="C15">
        <v>3</v>
      </c>
    </row>
    <row r="16" spans="1:3" x14ac:dyDescent="0.3">
      <c r="A16" s="17">
        <v>39</v>
      </c>
      <c r="B16">
        <v>4.7707800038113684</v>
      </c>
      <c r="C16">
        <v>3</v>
      </c>
    </row>
    <row r="17" spans="1:3" x14ac:dyDescent="0.3">
      <c r="A17" s="17">
        <v>40</v>
      </c>
      <c r="B17">
        <v>5.3709197592726401</v>
      </c>
      <c r="C17">
        <v>2</v>
      </c>
    </row>
    <row r="18" spans="1:3" x14ac:dyDescent="0.3">
      <c r="A18" s="17">
        <v>41</v>
      </c>
      <c r="B18">
        <v>4.9453377137879455</v>
      </c>
      <c r="C18">
        <v>3</v>
      </c>
    </row>
    <row r="19" spans="1:3" x14ac:dyDescent="0.3">
      <c r="A19" s="17">
        <v>43</v>
      </c>
      <c r="B19">
        <v>5.1864662820029075</v>
      </c>
      <c r="C19">
        <v>1</v>
      </c>
    </row>
    <row r="20" spans="1:3" x14ac:dyDescent="0.3">
      <c r="A20" s="17">
        <v>44</v>
      </c>
      <c r="B20">
        <v>5.204761052305388</v>
      </c>
      <c r="C20">
        <v>2</v>
      </c>
    </row>
    <row r="21" spans="1:3" x14ac:dyDescent="0.3">
      <c r="A21" s="17">
        <v>45</v>
      </c>
      <c r="B21">
        <v>4.9318365806209927</v>
      </c>
      <c r="C21">
        <v>3</v>
      </c>
    </row>
    <row r="22" spans="1:3" x14ac:dyDescent="0.3">
      <c r="A22" s="17">
        <v>46</v>
      </c>
      <c r="B22">
        <v>4.9961366061155088</v>
      </c>
      <c r="C22">
        <v>1</v>
      </c>
    </row>
    <row r="23" spans="1:3" x14ac:dyDescent="0.3">
      <c r="A23" s="17">
        <v>47</v>
      </c>
      <c r="B23">
        <v>4.7276793778929518</v>
      </c>
      <c r="C23">
        <v>3</v>
      </c>
    </row>
    <row r="24" spans="1:3" x14ac:dyDescent="0.3">
      <c r="A24" s="17">
        <v>48</v>
      </c>
      <c r="B24">
        <v>4.8108379381331554</v>
      </c>
      <c r="C24">
        <v>3</v>
      </c>
    </row>
    <row r="25" spans="1:3" x14ac:dyDescent="0.3">
      <c r="A25" s="17">
        <v>49</v>
      </c>
      <c r="B25">
        <v>4.9773286493269202</v>
      </c>
      <c r="C25">
        <v>3</v>
      </c>
    </row>
    <row r="26" spans="1:3" x14ac:dyDescent="0.3">
      <c r="A26" s="17" t="s">
        <v>40</v>
      </c>
      <c r="B26">
        <v>5.0247152086944498</v>
      </c>
      <c r="C26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6556A-FE59-4F5C-B550-D8B879F8F24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Other data</vt:lpstr>
      <vt:lpstr>Sheet1</vt:lpstr>
      <vt:lpstr>Gas 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Beck</dc:creator>
  <cp:lastModifiedBy>Matthew Beck</cp:lastModifiedBy>
  <dcterms:created xsi:type="dcterms:W3CDTF">2025-08-09T19:27:56Z</dcterms:created>
  <dcterms:modified xsi:type="dcterms:W3CDTF">2025-08-30T19:09:59Z</dcterms:modified>
</cp:coreProperties>
</file>